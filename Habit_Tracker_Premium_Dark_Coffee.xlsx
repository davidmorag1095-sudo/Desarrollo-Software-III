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0fafb9ed9448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7acc87bc94964388"/>
    <sheet name="Start Here" sheetId="2" r:id="R2a0bf0bb8f55409f"/>
    <sheet name="Configuracion" sheetId="3" r:id="R48fc96ef8bd54881"/>
    <sheet name="Registro Diario" sheetId="4" r:id="R5b7b3590d0fc45ca"/>
    <sheet name="Vista Semanal" sheetId="5" r:id="Recb723ac422847a6"/>
    <sheet name="Vista Mensual" sheetId="6" r:id="R2533a29645444ce7"/>
    <sheet name="Seguimiento Extra" sheetId="7" r:id="R2f58ffb53627459e"/>
    <sheet name="Habitos Sugeridos" sheetId="8" r:id="Rb065a2b33d5c4329"/>
    <sheet name="Data" sheetId="9" r:id="Ra967001f9af04a2e" state="hidden"/>
  </sheet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3">
    <numFmt numFmtId="200" formatCode="0%"/>
    <numFmt numFmtId="201" formatCode="yyyy-mm-dd"/>
    <numFmt numFmtId="202" formatCode="$#,##0"/>
  </numFmts>
  <fonts count="10">
    <font>
      <sz val="11"/>
      <name val="Carlito"/>
    </font>
    <font>
      <b/>
      <sz val="22"/>
      <color rgb="FFFFFFFF"/>
      <name val="Carlito"/>
    </font>
    <font>
      <b/>
      <sz val="10"/>
      <color rgb="FFFFFFFF"/>
      <name val="Carlito"/>
    </font>
    <font>
      <sz val="10"/>
      <color rgb="FF1A1A1A"/>
      <name val="Carlito"/>
    </font>
    <font>
      <b/>
      <sz val="11"/>
      <color rgb="FF2B2118"/>
      <name val="Carlito"/>
    </font>
    <font>
      <b/>
      <sz val="10"/>
      <color rgb="FF1A1A1A"/>
      <name val="Carlito"/>
    </font>
    <font>
      <i/>
      <sz val="11"/>
      <color rgb="FF6B625C"/>
      <name val="Carlito"/>
    </font>
    <font>
      <sz val="11"/>
      <color rgb="FF1A1A1A"/>
      <name val="Carlito"/>
    </font>
    <font>
      <b/>
      <sz val="15"/>
      <color rgb="FF1A1A1A"/>
      <name val="Carlito"/>
    </font>
    <font>
      <b/>
      <sz val="14"/>
      <color rgb="FF2B2118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F7F4EF"/>
      </patternFill>
    </fill>
    <fill>
      <patternFill patternType="solid">
        <fgColor rgb="FF2B2118"/>
      </patternFill>
    </fill>
    <fill>
      <patternFill patternType="solid">
        <fgColor rgb="FF4B3621"/>
      </patternFill>
    </fill>
    <fill>
      <patternFill patternType="solid">
        <fgColor rgb="FFFFFFFF"/>
      </patternFill>
    </fill>
    <fill>
      <patternFill patternType="solid">
        <fgColor rgb="FFECE5DD"/>
      </patternFill>
    </fill>
    <fill>
      <patternFill patternType="solid">
        <fgColor rgb="FF597A5A"/>
      </patternFill>
    </fill>
    <fill>
      <patternFill patternType="solid">
        <fgColor rgb="FF9A4F43"/>
      </patternFill>
    </fill>
    <fill>
      <patternFill patternType="solid">
        <fgColor rgb="FFF4F1ED"/>
      </patternFill>
    </fill>
  </fills>
  <borders count="24">
    <border/>
    <border>
      <left style="thin">
        <color rgb="FFD8CEC3"/>
      </left>
      <top style="thin">
        <color rgb="FFD8CEC3"/>
      </top>
      <bottom style="thin">
        <color rgb="FFD8CEC3"/>
      </bottom>
    </border>
    <border>
      <top style="thin">
        <color rgb="FFD8CEC3"/>
      </top>
      <bottom style="thin">
        <color rgb="FFD8CEC3"/>
      </bottom>
    </border>
    <border>
      <right style="thin">
        <color rgb="FFD8CEC3"/>
      </right>
      <top style="thin">
        <color rgb="FFD8CEC3"/>
      </top>
      <bottom style="thin">
        <color rgb="FFD8CEC3"/>
      </bottom>
    </border>
    <border>
      <right style="thin">
        <color rgb="FFD8CEC3"/>
      </right>
      <bottom style="thin">
        <color rgb="FFD8CEC3"/>
      </bottom>
    </border>
    <border>
      <left style="thin">
        <color rgb="FFD8CEC3"/>
      </left>
      <right style="thin">
        <color rgb="FFD8CEC3"/>
      </right>
      <bottom style="thin">
        <color rgb="FFD8CEC3"/>
      </bottom>
    </border>
    <border>
      <left style="thin">
        <color rgb="FFD8CEC3"/>
      </left>
      <bottom style="thin">
        <color rgb="FFD8CEC3"/>
      </bottom>
    </border>
    <border>
      <left style="thin">
        <color rgb="FFD8CEC3"/>
      </left>
      <right style="thin">
        <color rgb="FFD8CEC3"/>
      </right>
      <top style="thin">
        <color rgb="FFD8CEC3"/>
      </top>
      <bottom style="thin">
        <color rgb="FFD8CEC3"/>
      </bottom>
    </border>
    <border>
      <right style="thin">
        <color rgb="FFD8CEC3"/>
      </right>
      <top style="thin">
        <color rgb="FFD8CEC3"/>
      </top>
    </border>
    <border>
      <left style="thin">
        <color rgb="FFD8CEC3"/>
      </left>
      <right style="thin">
        <color rgb="FFD8CEC3"/>
      </right>
      <top style="thin">
        <color rgb="FFD8CEC3"/>
      </top>
    </border>
    <border>
      <left style="thin">
        <color rgb="FFD8CEC3"/>
      </left>
      <top style="thin">
        <color rgb="FFD8CEC3"/>
      </top>
    </border>
    <border>
      <left style="thin">
        <color rgb="FFD6B48C"/>
      </left>
      <right style="thin">
        <color rgb="FFD8CEC3"/>
      </right>
      <top style="thin">
        <color rgb="FFD6B48C"/>
      </top>
      <bottom style="thin">
        <color rgb="FFD8CEC3"/>
      </bottom>
    </border>
    <border>
      <left style="thin">
        <color rgb="FFD8CEC3"/>
      </left>
      <right style="thin">
        <color rgb="FFD8CEC3"/>
      </right>
      <top style="thin">
        <color rgb="FFD6B48C"/>
      </top>
      <bottom style="thin">
        <color rgb="FFD8CEC3"/>
      </bottom>
    </border>
    <border>
      <left style="thin">
        <color rgb="FFD8CEC3"/>
      </left>
      <right style="thin">
        <color rgb="FFD6B48C"/>
      </right>
      <top style="thin">
        <color rgb="FFD6B48C"/>
      </top>
      <bottom style="thin">
        <color rgb="FFD8CEC3"/>
      </bottom>
    </border>
    <border>
      <left style="thin">
        <color rgb="FFD6B48C"/>
      </left>
      <right style="thin">
        <color rgb="FFD8CEC3"/>
      </right>
      <top style="thin">
        <color rgb="FFD8CEC3"/>
      </top>
      <bottom style="thin">
        <color rgb="FFD8CEC3"/>
      </bottom>
    </border>
    <border>
      <left style="thin">
        <color rgb="FFD8CEC3"/>
      </left>
      <right style="thin">
        <color rgb="FFD6B48C"/>
      </right>
      <top style="thin">
        <color rgb="FFD8CEC3"/>
      </top>
      <bottom style="thin">
        <color rgb="FFD8CEC3"/>
      </bottom>
    </border>
    <border>
      <left style="thin">
        <color rgb="FFD6B48C"/>
      </left>
      <right style="thin">
        <color rgb="FFD8CEC3"/>
      </right>
      <top style="thin">
        <color rgb="FFD8CEC3"/>
      </top>
      <bottom style="thin">
        <color rgb="FFD6B48C"/>
      </bottom>
    </border>
    <border>
      <left style="thin">
        <color rgb="FFD8CEC3"/>
      </left>
      <right style="thin">
        <color rgb="FFD8CEC3"/>
      </right>
      <top style="thin">
        <color rgb="FFD8CEC3"/>
      </top>
      <bottom style="thin">
        <color rgb="FFD6B48C"/>
      </bottom>
    </border>
    <border>
      <left style="thin">
        <color rgb="FFD8CEC3"/>
      </left>
      <right style="thin">
        <color rgb="FFD6B48C"/>
      </right>
      <top style="thin">
        <color rgb="FFD8CEC3"/>
      </top>
      <bottom style="thin">
        <color rgb="FFD6B48C"/>
      </bottom>
    </border>
    <border>
      <left style="thin">
        <color rgb="FFD8CEC3"/>
      </left>
    </border>
    <border>
      <right style="thin">
        <color rgb="FFD8CEC3"/>
      </right>
    </border>
    <border>
      <top style="thin">
        <color rgb="FFD8CEC3"/>
      </top>
    </border>
    <border>
      <bottom style="thin">
        <color rgb="FFD8CEC3"/>
      </bottom>
    </border>
    <border>
      <left style="thin">
        <color rgb="FFD8CEC3"/>
      </left>
      <right style="thin">
        <color rgb="FFD8CEC3"/>
      </right>
    </border>
  </borders>
  <cellStyleXfs count="1">
    <xf numFmtId="0" fontId="0" fillId="0" borderId="0"/>
  </cellStyleXfs>
  <cellXfs count="530">
    <xf numFmtId="0" fontId="0" fillId="0" borderId="0" xfId="0"/>
    <xf numFmtId="0" fontId="0" fillId="2" borderId="0" xfId="0" applyNumberFormat="1" applyFont="1" applyFill="1" applyBorder="1"/>
    <xf numFmtId="0" fontId="0" fillId="3" borderId="0" xfId="0" applyNumberFormat="1" applyFont="1" applyFill="1" applyBorder="1"/>
    <xf numFmtId="0" fontId="1" fillId="3" borderId="0" xfId="0" applyNumberFormat="1" applyFont="1" applyFill="1" applyBorder="1"/>
    <xf numFmtId="0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 applyAlignment="1">
      <alignment horizontal="center" vertical="center"/>
    </xf>
    <xf numFmtId="0" fontId="0" fillId="4" borderId="0" xfId="0" applyNumberFormat="1" applyFont="1" applyFill="1" applyBorder="1"/>
    <xf numFmtId="0" fontId="2" fillId="4" borderId="0" xfId="0" applyNumberFormat="1" applyFont="1" applyFill="1" applyBorder="1"/>
    <xf numFmtId="0" fontId="2" fillId="4" borderId="1" xfId="0" applyNumberFormat="1" applyFont="1" applyFill="1" applyBorder="1"/>
    <xf numFmtId="0" fontId="2" fillId="4" borderId="2" xfId="0" applyNumberFormat="1" applyFont="1" applyFill="1" applyBorder="1"/>
    <xf numFmtId="0" fontId="2" fillId="4" borderId="3" xfId="0" applyNumberFormat="1" applyFont="1" applyFill="1" applyBorder="1"/>
    <xf numFmtId="0" fontId="2" fillId="4" borderId="1" xfId="0" applyNumberFormat="1" applyFont="1" applyFill="1" applyBorder="1" applyAlignment="1">
      <alignment horizontal="center"/>
    </xf>
    <xf numFmtId="0" fontId="2" fillId="4" borderId="2" xfId="0" applyNumberFormat="1" applyFont="1" applyFill="1" applyBorder="1" applyAlignment="1">
      <alignment horizontal="center"/>
    </xf>
    <xf numFmtId="0" fontId="2" fillId="4" borderId="3" xfId="0" applyNumberFormat="1" applyFont="1" applyFill="1" applyBorder="1" applyAlignment="1">
      <alignment horizont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0" fontId="0" fillId="5" borderId="0" xfId="0" applyNumberFormat="1" applyFont="1" applyFill="1" applyBorder="1"/>
    <xf numFmtId="0" fontId="3" fillId="5" borderId="0" xfId="0" applyNumberFormat="1" applyFont="1" applyFill="1" applyBorder="1"/>
    <xf numFmtId="0" fontId="3" fillId="5" borderId="4" xfId="0" applyNumberFormat="1" applyFont="1" applyFill="1" applyBorder="1"/>
    <xf numFmtId="0" fontId="3" fillId="5" borderId="5" xfId="0" applyNumberFormat="1" applyFont="1" applyFill="1" applyBorder="1"/>
    <xf numFmtId="0" fontId="3" fillId="5" borderId="6" xfId="0" applyNumberFormat="1" applyFont="1" applyFill="1" applyBorder="1"/>
    <xf numFmtId="0" fontId="3" fillId="5" borderId="3" xfId="0" applyNumberFormat="1" applyFont="1" applyFill="1" applyBorder="1"/>
    <xf numFmtId="0" fontId="3" fillId="5" borderId="7" xfId="0" applyNumberFormat="1" applyFont="1" applyFill="1" applyBorder="1"/>
    <xf numFmtId="0" fontId="3" fillId="5" borderId="1" xfId="0" applyNumberFormat="1" applyFont="1" applyFill="1" applyBorder="1"/>
    <xf numFmtId="0" fontId="3" fillId="5" borderId="8" xfId="0" applyNumberFormat="1" applyFont="1" applyFill="1" applyBorder="1"/>
    <xf numFmtId="0" fontId="3" fillId="5" borderId="9" xfId="0" applyNumberFormat="1" applyFont="1" applyFill="1" applyBorder="1"/>
    <xf numFmtId="0" fontId="3" fillId="5" borderId="10" xfId="0" applyNumberFormat="1" applyFont="1" applyFill="1" applyBorder="1"/>
    <xf numFmtId="0" fontId="3" fillId="5" borderId="4" xfId="0" applyNumberFormat="1" applyFont="1" applyFill="1" applyBorder="1" applyAlignment="1">
      <alignment vertical="center"/>
    </xf>
    <xf numFmtId="0" fontId="3" fillId="5" borderId="5" xfId="0" applyNumberFormat="1" applyFont="1" applyFill="1" applyBorder="1" applyAlignment="1">
      <alignment vertical="center"/>
    </xf>
    <xf numFmtId="0" fontId="3" fillId="5" borderId="6" xfId="0" applyNumberFormat="1" applyFont="1" applyFill="1" applyBorder="1" applyAlignment="1">
      <alignment vertical="center"/>
    </xf>
    <xf numFmtId="0" fontId="3" fillId="5" borderId="3" xfId="0" applyNumberFormat="1" applyFont="1" applyFill="1" applyBorder="1" applyAlignment="1">
      <alignment vertical="center"/>
    </xf>
    <xf numFmtId="0" fontId="3" fillId="5" borderId="7" xfId="0" applyNumberFormat="1" applyFont="1" applyFill="1" applyBorder="1" applyAlignment="1">
      <alignment vertical="center"/>
    </xf>
    <xf numFmtId="0" fontId="3" fillId="5" borderId="1" xfId="0" applyNumberFormat="1" applyFont="1" applyFill="1" applyBorder="1" applyAlignment="1">
      <alignment vertical="center"/>
    </xf>
    <xf numFmtId="0" fontId="3" fillId="5" borderId="8" xfId="0" applyNumberFormat="1" applyFont="1" applyFill="1" applyBorder="1" applyAlignment="1">
      <alignment vertical="center"/>
    </xf>
    <xf numFmtId="0" fontId="3" fillId="5" borderId="9" xfId="0" applyNumberFormat="1" applyFont="1" applyFill="1" applyBorder="1" applyAlignment="1">
      <alignment vertical="center"/>
    </xf>
    <xf numFmtId="0" fontId="3" fillId="5" borderId="10" xfId="0" applyNumberFormat="1" applyFont="1" applyFill="1" applyBorder="1" applyAlignment="1">
      <alignment vertical="center"/>
    </xf>
    <xf numFmtId="0" fontId="3" fillId="5" borderId="11" xfId="0" applyNumberFormat="1" applyFont="1" applyFill="1" applyBorder="1" applyAlignment="1">
      <alignment vertical="center"/>
    </xf>
    <xf numFmtId="0" fontId="3" fillId="5" borderId="12" xfId="0" applyNumberFormat="1" applyFont="1" applyFill="1" applyBorder="1" applyAlignment="1">
      <alignment vertical="center"/>
    </xf>
    <xf numFmtId="0" fontId="3" fillId="5" borderId="13" xfId="0" applyNumberFormat="1" applyFont="1" applyFill="1" applyBorder="1" applyAlignment="1">
      <alignment vertical="center"/>
    </xf>
    <xf numFmtId="0" fontId="3" fillId="5" borderId="14" xfId="0" applyNumberFormat="1" applyFont="1" applyFill="1" applyBorder="1" applyAlignment="1">
      <alignment vertical="center"/>
    </xf>
    <xf numFmtId="0" fontId="3" fillId="5" borderId="15" xfId="0" applyNumberFormat="1" applyFont="1" applyFill="1" applyBorder="1" applyAlignment="1">
      <alignment vertical="center"/>
    </xf>
    <xf numFmtId="0" fontId="3" fillId="5" borderId="16" xfId="0" applyNumberFormat="1" applyFont="1" applyFill="1" applyBorder="1" applyAlignment="1">
      <alignment vertical="center"/>
    </xf>
    <xf numFmtId="0" fontId="3" fillId="5" borderId="17" xfId="0" applyNumberFormat="1" applyFont="1" applyFill="1" applyBorder="1" applyAlignment="1">
      <alignment vertical="center"/>
    </xf>
    <xf numFmtId="0" fontId="3" fillId="5" borderId="18" xfId="0" applyNumberFormat="1" applyFont="1" applyFill="1" applyBorder="1" applyAlignment="1">
      <alignment vertical="center"/>
    </xf>
    <xf numFmtId="0" fontId="3" fillId="6" borderId="5" xfId="0" applyNumberFormat="1" applyFont="1" applyFill="1" applyBorder="1" applyAlignment="1">
      <alignment vertical="center"/>
    </xf>
    <xf numFmtId="0" fontId="3" fillId="6" borderId="6" xfId="0" applyNumberFormat="1" applyFont="1" applyFill="1" applyBorder="1" applyAlignment="1">
      <alignment vertical="center"/>
    </xf>
    <xf numFmtId="0" fontId="3" fillId="6" borderId="7" xfId="0" applyNumberFormat="1" applyFont="1" applyFill="1" applyBorder="1" applyAlignment="1">
      <alignment vertical="center"/>
    </xf>
    <xf numFmtId="0" fontId="3" fillId="6" borderId="1" xfId="0" applyNumberFormat="1" applyFont="1" applyFill="1" applyBorder="1" applyAlignment="1">
      <alignment vertical="center"/>
    </xf>
    <xf numFmtId="0" fontId="3" fillId="6" borderId="9" xfId="0" applyNumberFormat="1" applyFont="1" applyFill="1" applyBorder="1" applyAlignment="1">
      <alignment vertical="center"/>
    </xf>
    <xf numFmtId="0" fontId="3" fillId="6" borderId="10" xfId="0" applyNumberFormat="1" applyFont="1" applyFill="1" applyBorder="1" applyAlignment="1">
      <alignment vertical="center"/>
    </xf>
    <xf numFmtId="200" fontId="3" fillId="6" borderId="5" xfId="0" applyNumberFormat="1" applyFont="1" applyFill="1" applyBorder="1" applyAlignment="1">
      <alignment vertical="center"/>
    </xf>
    <xf numFmtId="200" fontId="3" fillId="6" borderId="7" xfId="0" applyNumberFormat="1" applyFont="1" applyFill="1" applyBorder="1" applyAlignment="1">
      <alignment vertical="center"/>
    </xf>
    <xf numFmtId="200" fontId="3" fillId="6" borderId="9" xfId="0" applyNumberFormat="1" applyFont="1" applyFill="1" applyBorder="1" applyAlignment="1">
      <alignment vertical="center"/>
    </xf>
    <xf numFmtId="0" fontId="0" fillId="6" borderId="0" xfId="0" applyNumberFormat="1" applyFont="1" applyFill="1" applyBorder="1"/>
    <xf numFmtId="0" fontId="4" fillId="6" borderId="0" xfId="0" applyNumberFormat="1" applyFont="1" applyFill="1" applyBorder="1"/>
    <xf numFmtId="0" fontId="4" fillId="6" borderId="1" xfId="0" applyNumberFormat="1" applyFont="1" applyFill="1" applyBorder="1"/>
    <xf numFmtId="0" fontId="4" fillId="6" borderId="2" xfId="0" applyNumberFormat="1" applyFont="1" applyFill="1" applyBorder="1"/>
    <xf numFmtId="0" fontId="4" fillId="6" borderId="3" xfId="0" applyNumberFormat="1" applyFont="1" applyFill="1" applyBorder="1"/>
    <xf numFmtId="0" fontId="4" fillId="6" borderId="1" xfId="0" applyNumberFormat="1" applyFont="1" applyFill="1" applyBorder="1" applyAlignment="1">
      <alignment horizontal="left"/>
    </xf>
    <xf numFmtId="0" fontId="4" fillId="6" borderId="2" xfId="0" applyNumberFormat="1" applyFont="1" applyFill="1" applyBorder="1" applyAlignment="1">
      <alignment horizontal="left"/>
    </xf>
    <xf numFmtId="0" fontId="4" fillId="6" borderId="3" xfId="0" applyNumberFormat="1" applyFont="1" applyFill="1" applyBorder="1" applyAlignment="1">
      <alignment horizontal="left"/>
    </xf>
    <xf numFmtId="0" fontId="4" fillId="6" borderId="1" xfId="0" applyNumberFormat="1" applyFont="1" applyFill="1" applyBorder="1" applyAlignment="1">
      <alignment horizontal="left" vertical="center"/>
    </xf>
    <xf numFmtId="0" fontId="4" fillId="6" borderId="2" xfId="0" applyNumberFormat="1" applyFont="1" applyFill="1" applyBorder="1" applyAlignment="1">
      <alignment horizontal="left" vertical="center"/>
    </xf>
    <xf numFmtId="0" fontId="4" fillId="6" borderId="3" xfId="0" applyNumberFormat="1" applyFont="1" applyFill="1" applyBorder="1" applyAlignment="1">
      <alignment horizontal="left" vertical="center"/>
    </xf>
    <xf numFmtId="0" fontId="4" fillId="6" borderId="1" xfId="0" applyNumberFormat="1" applyFont="1" applyFill="1" applyBorder="1" applyAlignment="1">
      <alignment horizontal="center"/>
    </xf>
    <xf numFmtId="0" fontId="4" fillId="6" borderId="2" xfId="0" applyNumberFormat="1" applyFont="1" applyFill="1" applyBorder="1" applyAlignment="1">
      <alignment horizontal="center"/>
    </xf>
    <xf numFmtId="0" fontId="4" fillId="6" borderId="3" xfId="0" applyNumberFormat="1" applyFont="1" applyFill="1" applyBorder="1" applyAlignment="1">
      <alignment horizontal="center"/>
    </xf>
    <xf numFmtId="0" fontId="3" fillId="5" borderId="5" xfId="0" applyNumberFormat="1" applyFont="1" applyFill="1" applyBorder="1" applyAlignment="1">
      <alignment horizontal="center" vertical="center"/>
    </xf>
    <xf numFmtId="0" fontId="3" fillId="5" borderId="7" xfId="0" applyNumberFormat="1" applyFont="1" applyFill="1" applyBorder="1" applyAlignment="1">
      <alignment horizontal="center" vertical="center"/>
    </xf>
    <xf numFmtId="0" fontId="3" fillId="5" borderId="9" xfId="0" applyNumberFormat="1" applyFont="1" applyFill="1" applyBorder="1" applyAlignment="1">
      <alignment horizontal="center" vertical="center"/>
    </xf>
    <xf numFmtId="200" fontId="3" fillId="5" borderId="5" xfId="0" applyNumberFormat="1" applyFont="1" applyFill="1" applyBorder="1" applyAlignment="1">
      <alignment vertical="center"/>
    </xf>
    <xf numFmtId="200" fontId="3" fillId="5" borderId="7" xfId="0" applyNumberFormat="1" applyFont="1" applyFill="1" applyBorder="1" applyAlignment="1">
      <alignment vertical="center"/>
    </xf>
    <xf numFmtId="200" fontId="3" fillId="5" borderId="9" xfId="0" applyNumberFormat="1" applyFont="1" applyFill="1" applyBorder="1" applyAlignment="1">
      <alignment vertical="center"/>
    </xf>
    <xf numFmtId="0" fontId="2" fillId="3" borderId="0" xfId="0" applyNumberFormat="1" applyFont="1" applyFill="1" applyBorder="1"/>
    <xf numFmtId="0" fontId="2" fillId="3" borderId="1" xfId="0" applyNumberFormat="1" applyFont="1" applyFill="1" applyBorder="1"/>
    <xf numFmtId="0" fontId="2" fillId="3" borderId="2" xfId="0" applyNumberFormat="1" applyFont="1" applyFill="1" applyBorder="1"/>
    <xf numFmtId="0" fontId="2" fillId="3" borderId="3" xfId="0" applyNumberFormat="1" applyFont="1" applyFill="1" applyBorder="1"/>
    <xf numFmtId="0" fontId="2" fillId="3" borderId="1" xfId="0" applyNumberFormat="1" applyFont="1" applyFill="1" applyBorder="1" applyAlignment="1">
      <alignment horizontal="center"/>
    </xf>
    <xf numFmtId="0" fontId="2" fillId="3" borderId="2" xfId="0" applyNumberFormat="1" applyFont="1" applyFill="1" applyBorder="1" applyAlignment="1">
      <alignment horizontal="center"/>
    </xf>
    <xf numFmtId="0" fontId="2" fillId="3" borderId="3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/>
    </xf>
    <xf numFmtId="201" fontId="3" fillId="5" borderId="5" xfId="0" applyNumberFormat="1" applyFont="1" applyFill="1" applyBorder="1" applyAlignment="1">
      <alignment vertical="center"/>
    </xf>
    <xf numFmtId="201" fontId="3" fillId="5" borderId="7" xfId="0" applyNumberFormat="1" applyFont="1" applyFill="1" applyBorder="1" applyAlignment="1">
      <alignment vertical="center"/>
    </xf>
    <xf numFmtId="201" fontId="3" fillId="5" borderId="9" xfId="0" applyNumberFormat="1" applyFont="1" applyFill="1" applyBorder="1" applyAlignment="1">
      <alignment vertical="center"/>
    </xf>
    <xf numFmtId="0" fontId="0" fillId="7" borderId="0" xfId="0" applyNumberFormat="1" applyFont="1" applyFill="1" applyBorder="1"/>
    <xf numFmtId="0" fontId="2" fillId="7" borderId="0" xfId="0" applyNumberFormat="1" applyFont="1" applyFill="1" applyBorder="1"/>
    <xf numFmtId="0" fontId="2" fillId="7" borderId="1" xfId="0" applyNumberFormat="1" applyFont="1" applyFill="1" applyBorder="1"/>
    <xf numFmtId="0" fontId="2" fillId="7" borderId="2" xfId="0" applyNumberFormat="1" applyFont="1" applyFill="1" applyBorder="1"/>
    <xf numFmtId="0" fontId="2" fillId="7" borderId="3" xfId="0" applyNumberFormat="1" applyFont="1" applyFill="1" applyBorder="1"/>
    <xf numFmtId="0" fontId="2" fillId="7" borderId="1" xfId="0" applyNumberFormat="1" applyFont="1" applyFill="1" applyBorder="1" applyAlignment="1">
      <alignment horizontal="center"/>
    </xf>
    <xf numFmtId="0" fontId="2" fillId="7" borderId="2" xfId="0" applyNumberFormat="1" applyFont="1" applyFill="1" applyBorder="1" applyAlignment="1">
      <alignment horizontal="center"/>
    </xf>
    <xf numFmtId="0" fontId="2" fillId="7" borderId="3" xfId="0" applyNumberFormat="1" applyFont="1" applyFill="1" applyBorder="1" applyAlignment="1">
      <alignment horizontal="center"/>
    </xf>
    <xf numFmtId="0" fontId="2" fillId="7" borderId="1" xfId="0" applyNumberFormat="1" applyFont="1" applyFill="1" applyBorder="1" applyAlignment="1">
      <alignment horizontal="center" vertical="center"/>
    </xf>
    <xf numFmtId="0" fontId="2" fillId="7" borderId="2" xfId="0" applyNumberFormat="1" applyFont="1" applyFill="1" applyBorder="1" applyAlignment="1">
      <alignment horizontal="center" vertical="center"/>
    </xf>
    <xf numFmtId="0" fontId="2" fillId="7" borderId="3" xfId="0" applyNumberFormat="1" applyFont="1" applyFill="1" applyBorder="1" applyAlignment="1">
      <alignment horizontal="center" vertical="center"/>
    </xf>
    <xf numFmtId="200" fontId="3" fillId="5" borderId="6" xfId="0" applyNumberFormat="1" applyFont="1" applyFill="1" applyBorder="1" applyAlignment="1">
      <alignment vertical="center"/>
    </xf>
    <xf numFmtId="200" fontId="3" fillId="5" borderId="1" xfId="0" applyNumberFormat="1" applyFont="1" applyFill="1" applyBorder="1" applyAlignment="1">
      <alignment vertical="center"/>
    </xf>
    <xf numFmtId="200" fontId="3" fillId="5" borderId="10" xfId="0" applyNumberFormat="1" applyFont="1" applyFill="1" applyBorder="1" applyAlignment="1">
      <alignment vertical="center"/>
    </xf>
    <xf numFmtId="0" fontId="0" fillId="8" borderId="0" xfId="0" applyNumberFormat="1" applyFont="1" applyFill="1" applyBorder="1"/>
    <xf numFmtId="0" fontId="2" fillId="8" borderId="0" xfId="0" applyNumberFormat="1" applyFont="1" applyFill="1" applyBorder="1"/>
    <xf numFmtId="0" fontId="2" fillId="8" borderId="1" xfId="0" applyNumberFormat="1" applyFont="1" applyFill="1" applyBorder="1"/>
    <xf numFmtId="0" fontId="2" fillId="8" borderId="2" xfId="0" applyNumberFormat="1" applyFont="1" applyFill="1" applyBorder="1"/>
    <xf numFmtId="0" fontId="2" fillId="8" borderId="3" xfId="0" applyNumberFormat="1" applyFont="1" applyFill="1" applyBorder="1"/>
    <xf numFmtId="0" fontId="2" fillId="8" borderId="1" xfId="0" applyNumberFormat="1" applyFont="1" applyFill="1" applyBorder="1" applyAlignment="1">
      <alignment horizontal="center"/>
    </xf>
    <xf numFmtId="0" fontId="2" fillId="8" borderId="2" xfId="0" applyNumberFormat="1" applyFont="1" applyFill="1" applyBorder="1" applyAlignment="1">
      <alignment horizontal="center"/>
    </xf>
    <xf numFmtId="0" fontId="2" fillId="8" borderId="3" xfId="0" applyNumberFormat="1" applyFont="1" applyFill="1" applyBorder="1" applyAlignment="1">
      <alignment horizontal="center"/>
    </xf>
    <xf numFmtId="0" fontId="2" fillId="8" borderId="1" xfId="0" applyNumberFormat="1" applyFont="1" applyFill="1" applyBorder="1" applyAlignment="1">
      <alignment horizontal="center" vertical="center"/>
    </xf>
    <xf numFmtId="0" fontId="2" fillId="8" borderId="2" xfId="0" applyNumberFormat="1" applyFont="1" applyFill="1" applyBorder="1" applyAlignment="1">
      <alignment horizontal="center" vertical="center"/>
    </xf>
    <xf numFmtId="0" fontId="2" fillId="8" borderId="3" xfId="0" applyNumberFormat="1" applyFont="1" applyFill="1" applyBorder="1" applyAlignment="1">
      <alignment horizontal="center" vertical="center"/>
    </xf>
    <xf numFmtId="0" fontId="2" fillId="5" borderId="2" xfId="0" applyNumberFormat="1" applyFont="1" applyFill="1" applyBorder="1" applyAlignment="1">
      <alignment horizontal="center" vertical="center"/>
    </xf>
    <xf numFmtId="0" fontId="5" fillId="5" borderId="2" xfId="0" applyNumberFormat="1" applyFont="1" applyFill="1" applyBorder="1" applyAlignment="1">
      <alignment horizontal="center" vertical="center"/>
    </xf>
    <xf numFmtId="0" fontId="5" fillId="5" borderId="3" xfId="0" applyNumberFormat="1" applyFont="1" applyFill="1" applyBorder="1" applyAlignment="1">
      <alignment horizontal="center" vertical="center"/>
    </xf>
    <xf numFmtId="0" fontId="5" fillId="5" borderId="1" xfId="0" applyNumberFormat="1" applyFont="1" applyFill="1" applyBorder="1" applyAlignment="1">
      <alignment horizontal="center" vertical="center"/>
    </xf>
    <xf numFmtId="200" fontId="5" fillId="5" borderId="1" xfId="0" applyNumberFormat="1" applyFont="1" applyFill="1" applyBorder="1" applyAlignment="1">
      <alignment horizontal="center" vertical="center"/>
    </xf>
    <xf numFmtId="0" fontId="0" fillId="9" borderId="0" xfId="0" applyNumberFormat="1" applyFont="1" applyFill="1" applyBorder="1"/>
    <xf numFmtId="0" fontId="6" fillId="9" borderId="0" xfId="0" applyNumberFormat="1" applyFont="1" applyFill="1" applyBorder="1"/>
    <xf numFmtId="0" fontId="6" fillId="9" borderId="0" xfId="0" applyNumberFormat="1" applyFont="1" applyFill="1" applyBorder="1" applyAlignment="1">
      <alignment horizontal="center"/>
    </xf>
    <xf numFmtId="0" fontId="7" fillId="5" borderId="0" xfId="0" applyNumberFormat="1" applyFont="1" applyFill="1" applyBorder="1"/>
    <xf numFmtId="0" fontId="7" fillId="5" borderId="10" xfId="0" applyNumberFormat="1" applyFont="1" applyFill="1" applyBorder="1"/>
    <xf numFmtId="0" fontId="7" fillId="5" borderId="8" xfId="0" applyNumberFormat="1" applyFont="1" applyFill="1" applyBorder="1"/>
    <xf numFmtId="0" fontId="7" fillId="5" borderId="19" xfId="0" applyNumberFormat="1" applyFont="1" applyFill="1" applyBorder="1"/>
    <xf numFmtId="0" fontId="7" fillId="5" borderId="20" xfId="0" applyNumberFormat="1" applyFont="1" applyFill="1" applyBorder="1"/>
    <xf numFmtId="0" fontId="7" fillId="5" borderId="6" xfId="0" applyNumberFormat="1" applyFont="1" applyFill="1" applyBorder="1"/>
    <xf numFmtId="0" fontId="7" fillId="5" borderId="4" xfId="0" applyNumberFormat="1" applyFont="1" applyFill="1" applyBorder="1"/>
    <xf numFmtId="0" fontId="7" fillId="5" borderId="10" xfId="0" applyNumberFormat="1" applyFont="1" applyFill="1" applyBorder="1" applyAlignment="1">
      <alignment horizontal="center"/>
    </xf>
    <xf numFmtId="0" fontId="7" fillId="5" borderId="8" xfId="0" applyNumberFormat="1" applyFont="1" applyFill="1" applyBorder="1" applyAlignment="1">
      <alignment horizontal="center"/>
    </xf>
    <xf numFmtId="0" fontId="7" fillId="5" borderId="19" xfId="0" applyNumberFormat="1" applyFont="1" applyFill="1" applyBorder="1" applyAlignment="1">
      <alignment horizontal="center"/>
    </xf>
    <xf numFmtId="0" fontId="7" fillId="5" borderId="20" xfId="0" applyNumberFormat="1" applyFont="1" applyFill="1" applyBorder="1" applyAlignment="1">
      <alignment horizontal="center"/>
    </xf>
    <xf numFmtId="0" fontId="7" fillId="5" borderId="6" xfId="0" applyNumberFormat="1" applyFont="1" applyFill="1" applyBorder="1" applyAlignment="1">
      <alignment horizontal="center"/>
    </xf>
    <xf numFmtId="0" fontId="7" fillId="5" borderId="4" xfId="0" applyNumberFormat="1" applyFont="1" applyFill="1" applyBorder="1" applyAlignment="1">
      <alignment horizontal="center"/>
    </xf>
    <xf numFmtId="0" fontId="7" fillId="5" borderId="10" xfId="0" applyNumberFormat="1" applyFont="1" applyFill="1" applyBorder="1" applyAlignment="1">
      <alignment horizontal="center" vertical="center"/>
    </xf>
    <xf numFmtId="0" fontId="7" fillId="5" borderId="8" xfId="0" applyNumberFormat="1" applyFont="1" applyFill="1" applyBorder="1" applyAlignment="1">
      <alignment horizontal="center" vertical="center"/>
    </xf>
    <xf numFmtId="0" fontId="7" fillId="5" borderId="19" xfId="0" applyNumberFormat="1" applyFont="1" applyFill="1" applyBorder="1" applyAlignment="1">
      <alignment horizontal="center" vertical="center"/>
    </xf>
    <xf numFmtId="0" fontId="7" fillId="5" borderId="20" xfId="0" applyNumberFormat="1" applyFont="1" applyFill="1" applyBorder="1" applyAlignment="1">
      <alignment horizontal="center" vertical="center"/>
    </xf>
    <xf numFmtId="0" fontId="7" fillId="5" borderId="6" xfId="0" applyNumberFormat="1" applyFont="1" applyFill="1" applyBorder="1" applyAlignment="1">
      <alignment horizontal="center" vertical="center"/>
    </xf>
    <xf numFmtId="0" fontId="7" fillId="5" borderId="4" xfId="0" applyNumberFormat="1" applyFont="1" applyFill="1" applyBorder="1" applyAlignment="1">
      <alignment horizontal="center" vertical="center"/>
    </xf>
    <xf numFmtId="0" fontId="7" fillId="4" borderId="10" xfId="0" applyNumberFormat="1" applyFont="1" applyFill="1" applyBorder="1" applyAlignment="1">
      <alignment horizontal="center" vertical="center"/>
    </xf>
    <xf numFmtId="0" fontId="7" fillId="4" borderId="8" xfId="0" applyNumberFormat="1" applyFont="1" applyFill="1" applyBorder="1" applyAlignment="1">
      <alignment horizontal="center" vertical="center"/>
    </xf>
    <xf numFmtId="0" fontId="2" fillId="4" borderId="10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8" fillId="5" borderId="19" xfId="0" applyNumberFormat="1" applyFont="1" applyFill="1" applyBorder="1" applyAlignment="1">
      <alignment horizontal="center" vertical="center"/>
    </xf>
    <xf numFmtId="0" fontId="8" fillId="5" borderId="20" xfId="0" applyNumberFormat="1" applyFont="1" applyFill="1" applyBorder="1" applyAlignment="1">
      <alignment horizontal="center" vertical="center"/>
    </xf>
    <xf numFmtId="200" fontId="8" fillId="5" borderId="19" xfId="0" applyNumberFormat="1" applyFont="1" applyFill="1" applyBorder="1" applyAlignment="1">
      <alignment horizontal="center" vertical="center"/>
    </xf>
    <xf numFmtId="0" fontId="0" fillId="6" borderId="10" xfId="0" applyNumberFormat="1" applyFont="1" applyFill="1" applyBorder="1"/>
    <xf numFmtId="0" fontId="0" fillId="6" borderId="21" xfId="0" applyNumberFormat="1" applyFont="1" applyFill="1" applyBorder="1"/>
    <xf numFmtId="0" fontId="0" fillId="6" borderId="8" xfId="0" applyNumberFormat="1" applyFont="1" applyFill="1" applyBorder="1"/>
    <xf numFmtId="0" fontId="0" fillId="6" borderId="6" xfId="0" applyNumberFormat="1" applyFont="1" applyFill="1" applyBorder="1"/>
    <xf numFmtId="0" fontId="0" fillId="6" borderId="22" xfId="0" applyNumberFormat="1" applyFont="1" applyFill="1" applyBorder="1"/>
    <xf numFmtId="0" fontId="0" fillId="6" borderId="4" xfId="0" applyNumberFormat="1" applyFont="1" applyFill="1" applyBorder="1"/>
    <xf numFmtId="0" fontId="9" fillId="6" borderId="10" xfId="0" applyNumberFormat="1" applyFont="1" applyFill="1" applyBorder="1"/>
    <xf numFmtId="0" fontId="9" fillId="6" borderId="21" xfId="0" applyNumberFormat="1" applyFont="1" applyFill="1" applyBorder="1"/>
    <xf numFmtId="0" fontId="9" fillId="6" borderId="8" xfId="0" applyNumberFormat="1" applyFont="1" applyFill="1" applyBorder="1"/>
    <xf numFmtId="0" fontId="9" fillId="6" borderId="6" xfId="0" applyNumberFormat="1" applyFont="1" applyFill="1" applyBorder="1"/>
    <xf numFmtId="0" fontId="9" fillId="6" borderId="22" xfId="0" applyNumberFormat="1" applyFont="1" applyFill="1" applyBorder="1"/>
    <xf numFmtId="0" fontId="9" fillId="6" borderId="4" xfId="0" applyNumberFormat="1" applyFont="1" applyFill="1" applyBorder="1"/>
    <xf numFmtId="0" fontId="9" fillId="6" borderId="10" xfId="0" applyNumberFormat="1" applyFont="1" applyFill="1" applyBorder="1" applyAlignment="1">
      <alignment horizontal="center"/>
    </xf>
    <xf numFmtId="0" fontId="9" fillId="6" borderId="21" xfId="0" applyNumberFormat="1" applyFont="1" applyFill="1" applyBorder="1" applyAlignment="1">
      <alignment horizontal="center"/>
    </xf>
    <xf numFmtId="0" fontId="9" fillId="6" borderId="8" xfId="0" applyNumberFormat="1" applyFont="1" applyFill="1" applyBorder="1" applyAlignment="1">
      <alignment horizontal="center"/>
    </xf>
    <xf numFmtId="0" fontId="9" fillId="6" borderId="6" xfId="0" applyNumberFormat="1" applyFont="1" applyFill="1" applyBorder="1" applyAlignment="1">
      <alignment horizontal="center"/>
    </xf>
    <xf numFmtId="0" fontId="9" fillId="6" borderId="22" xfId="0" applyNumberFormat="1" applyFont="1" applyFill="1" applyBorder="1" applyAlignment="1">
      <alignment horizontal="center"/>
    </xf>
    <xf numFmtId="0" fontId="9" fillId="6" borderId="4" xfId="0" applyNumberFormat="1" applyFont="1" applyFill="1" applyBorder="1" applyAlignment="1">
      <alignment horizontal="center"/>
    </xf>
    <xf numFmtId="0" fontId="9" fillId="6" borderId="10" xfId="0" applyNumberFormat="1" applyFont="1" applyFill="1" applyBorder="1" applyAlignment="1">
      <alignment horizontal="center" vertical="center"/>
    </xf>
    <xf numFmtId="0" fontId="9" fillId="6" borderId="21" xfId="0" applyNumberFormat="1" applyFont="1" applyFill="1" applyBorder="1" applyAlignment="1">
      <alignment horizontal="center" vertical="center"/>
    </xf>
    <xf numFmtId="0" fontId="9" fillId="6" borderId="8" xfId="0" applyNumberFormat="1" applyFont="1" applyFill="1" applyBorder="1" applyAlignment="1">
      <alignment horizontal="center" vertical="center"/>
    </xf>
    <xf numFmtId="0" fontId="9" fillId="6" borderId="6" xfId="0" applyNumberFormat="1" applyFont="1" applyFill="1" applyBorder="1" applyAlignment="1">
      <alignment horizontal="center" vertical="center"/>
    </xf>
    <xf numFmtId="0" fontId="9" fillId="6" borderId="22" xfId="0" applyNumberFormat="1" applyFont="1" applyFill="1" applyBorder="1" applyAlignment="1">
      <alignment horizontal="center" vertical="center"/>
    </xf>
    <xf numFmtId="0" fontId="9" fillId="6" borderId="4" xfId="0" applyNumberFormat="1" applyFont="1" applyFill="1" applyBorder="1" applyAlignment="1">
      <alignment horizontal="center" vertical="center"/>
    </xf>
    <xf numFmtId="0" fontId="3" fillId="5" borderId="20" xfId="0" applyNumberFormat="1" applyFont="1" applyFill="1" applyBorder="1"/>
    <xf numFmtId="0" fontId="3" fillId="5" borderId="23" xfId="0" applyNumberFormat="1" applyFont="1" applyFill="1" applyBorder="1"/>
    <xf numFmtId="0" fontId="3" fillId="5" borderId="19" xfId="0" applyNumberFormat="1" applyFont="1" applyFill="1" applyBorder="1"/>
    <xf numFmtId="0" fontId="3" fillId="5" borderId="20" xfId="0" applyNumberFormat="1" applyFont="1" applyFill="1" applyBorder="1" applyAlignment="1">
      <alignment vertical="center"/>
    </xf>
    <xf numFmtId="0" fontId="3" fillId="5" borderId="23" xfId="0" applyNumberFormat="1" applyFont="1" applyFill="1" applyBorder="1" applyAlignment="1">
      <alignment vertical="center"/>
    </xf>
    <xf numFmtId="0" fontId="3" fillId="5" borderId="19" xfId="0" applyNumberFormat="1" applyFont="1" applyFill="1" applyBorder="1" applyAlignment="1">
      <alignment vertical="center"/>
    </xf>
    <xf numFmtId="200" fontId="3" fillId="5" borderId="23" xfId="0" applyNumberFormat="1" applyFont="1" applyFill="1" applyBorder="1" applyAlignment="1">
      <alignment vertical="center"/>
    </xf>
    <xf numFmtId="200" fontId="3" fillId="5" borderId="19" xfId="0" applyNumberFormat="1" applyFont="1" applyFill="1" applyBorder="1" applyAlignment="1">
      <alignment vertical="center"/>
    </xf>
    <xf numFmtId="202" fontId="3" fillId="5" borderId="5" xfId="0" applyNumberFormat="1" applyFont="1" applyFill="1" applyBorder="1" applyAlignment="1">
      <alignment vertical="center"/>
    </xf>
    <xf numFmtId="202" fontId="3" fillId="5" borderId="7" xfId="0" applyNumberFormat="1" applyFont="1" applyFill="1" applyBorder="1" applyAlignment="1">
      <alignment vertical="center"/>
    </xf>
    <xf numFmtId="202" fontId="3" fillId="5" borderId="9" xfId="0" applyNumberFormat="1" applyFont="1" applyFill="1" applyBorder="1" applyAlignment="1">
      <alignment vertical="center"/>
    </xf>
    <xf numFmtId="202" fontId="3" fillId="5" borderId="23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horizontal="center" vertical="center" wrapText="1"/>
    </xf>
    <xf numFmtId="0" fontId="0" fillId="2" borderId="0" xfId="0" applyNumberFormat="1" applyFont="1" applyFill="1" applyBorder="1" applyAlignment="1">
      <alignment wrapText="1"/>
    </xf>
    <xf numFmtId="0" fontId="6" fillId="9" borderId="0" xfId="0" applyNumberFormat="1" applyFont="1" applyFill="1" applyBorder="1" applyAlignment="1">
      <alignment horizontal="center" wrapText="1"/>
    </xf>
    <xf numFmtId="0" fontId="2" fillId="4" borderId="10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 wrapText="1"/>
    </xf>
    <xf numFmtId="200" fontId="8" fillId="5" borderId="19" xfId="0" applyNumberFormat="1" applyFont="1" applyFill="1" applyBorder="1" applyAlignment="1">
      <alignment horizontal="center" vertical="center" wrapText="1"/>
    </xf>
    <xf numFmtId="0" fontId="8" fillId="5" borderId="20" xfId="0" applyNumberFormat="1" applyFont="1" applyFill="1" applyBorder="1" applyAlignment="1">
      <alignment horizontal="center" vertical="center" wrapText="1"/>
    </xf>
    <xf numFmtId="0" fontId="8" fillId="5" borderId="19" xfId="0" applyNumberFormat="1" applyFont="1" applyFill="1" applyBorder="1" applyAlignment="1">
      <alignment horizontal="center" vertical="center" wrapText="1"/>
    </xf>
    <xf numFmtId="0" fontId="7" fillId="5" borderId="6" xfId="0" applyNumberFormat="1" applyFont="1" applyFill="1" applyBorder="1" applyAlignment="1">
      <alignment horizontal="center" vertical="center" wrapText="1"/>
    </xf>
    <xf numFmtId="0" fontId="7" fillId="5" borderId="4" xfId="0" applyNumberFormat="1" applyFont="1" applyFill="1" applyBorder="1" applyAlignment="1">
      <alignment horizontal="center" vertical="center" wrapText="1"/>
    </xf>
    <xf numFmtId="0" fontId="9" fillId="6" borderId="10" xfId="0" applyNumberFormat="1" applyFont="1" applyFill="1" applyBorder="1" applyAlignment="1">
      <alignment horizontal="center" vertical="center" wrapText="1"/>
    </xf>
    <xf numFmtId="0" fontId="9" fillId="6" borderId="21" xfId="0" applyNumberFormat="1" applyFont="1" applyFill="1" applyBorder="1" applyAlignment="1">
      <alignment horizontal="center" vertical="center" wrapText="1"/>
    </xf>
    <xf numFmtId="0" fontId="9" fillId="6" borderId="8" xfId="0" applyNumberFormat="1" applyFont="1" applyFill="1" applyBorder="1" applyAlignment="1">
      <alignment horizontal="center" vertical="center" wrapText="1"/>
    </xf>
    <xf numFmtId="0" fontId="9" fillId="6" borderId="6" xfId="0" applyNumberFormat="1" applyFont="1" applyFill="1" applyBorder="1" applyAlignment="1">
      <alignment horizontal="center" vertical="center" wrapText="1"/>
    </xf>
    <xf numFmtId="0" fontId="9" fillId="6" borderId="22" xfId="0" applyNumberFormat="1" applyFont="1" applyFill="1" applyBorder="1" applyAlignment="1">
      <alignment horizontal="center" vertical="center" wrapText="1"/>
    </xf>
    <xf numFmtId="0" fontId="9" fillId="6" borderId="4" xfId="0" applyNumberFormat="1" applyFont="1" applyFill="1" applyBorder="1" applyAlignment="1">
      <alignment horizontal="center" vertical="center" wrapText="1"/>
    </xf>
    <xf numFmtId="0" fontId="2" fillId="7" borderId="1" xfId="0" applyNumberFormat="1" applyFont="1" applyFill="1" applyBorder="1" applyAlignment="1">
      <alignment horizontal="center" vertical="center" wrapText="1"/>
    </xf>
    <xf numFmtId="0" fontId="2" fillId="7" borderId="2" xfId="0" applyNumberFormat="1" applyFont="1" applyFill="1" applyBorder="1" applyAlignment="1">
      <alignment horizontal="center" vertical="center" wrapText="1"/>
    </xf>
    <xf numFmtId="0" fontId="2" fillId="7" borderId="3" xfId="0" applyNumberFormat="1" applyFont="1" applyFill="1" applyBorder="1" applyAlignment="1">
      <alignment horizontal="center" vertical="center" wrapText="1"/>
    </xf>
    <xf numFmtId="0" fontId="2" fillId="8" borderId="1" xfId="0" applyNumberFormat="1" applyFont="1" applyFill="1" applyBorder="1" applyAlignment="1">
      <alignment horizontal="center" vertical="center" wrapText="1"/>
    </xf>
    <xf numFmtId="0" fontId="2" fillId="8" borderId="2" xfId="0" applyNumberFormat="1" applyFont="1" applyFill="1" applyBorder="1" applyAlignment="1">
      <alignment horizontal="center" vertical="center" wrapText="1"/>
    </xf>
    <xf numFmtId="0" fontId="2" fillId="8" borderId="3" xfId="0" applyNumberFormat="1" applyFont="1" applyFill="1" applyBorder="1" applyAlignment="1">
      <alignment horizontal="center" vertical="center" wrapText="1"/>
    </xf>
    <xf numFmtId="0" fontId="3" fillId="5" borderId="4" xfId="0" applyNumberFormat="1" applyFont="1" applyFill="1" applyBorder="1" applyAlignment="1">
      <alignment vertical="center" wrapText="1"/>
    </xf>
    <xf numFmtId="0" fontId="3" fillId="5" borderId="5" xfId="0" applyNumberFormat="1" applyFont="1" applyFill="1" applyBorder="1" applyAlignment="1">
      <alignment vertical="center" wrapText="1"/>
    </xf>
    <xf numFmtId="200" fontId="3" fillId="5" borderId="6" xfId="0" applyNumberFormat="1" applyFont="1" applyFill="1" applyBorder="1" applyAlignment="1">
      <alignment vertical="center" wrapText="1"/>
    </xf>
    <xf numFmtId="0" fontId="3" fillId="5" borderId="3" xfId="0" applyNumberFormat="1" applyFont="1" applyFill="1" applyBorder="1" applyAlignment="1">
      <alignment vertical="center" wrapText="1"/>
    </xf>
    <xf numFmtId="0" fontId="3" fillId="5" borderId="7" xfId="0" applyNumberFormat="1" applyFont="1" applyFill="1" applyBorder="1" applyAlignment="1">
      <alignment vertical="center" wrapText="1"/>
    </xf>
    <xf numFmtId="200" fontId="3" fillId="5" borderId="1" xfId="0" applyNumberFormat="1" applyFont="1" applyFill="1" applyBorder="1" applyAlignment="1">
      <alignment vertical="center" wrapText="1"/>
    </xf>
    <xf numFmtId="0" fontId="3" fillId="5" borderId="8" xfId="0" applyNumberFormat="1" applyFont="1" applyFill="1" applyBorder="1" applyAlignment="1">
      <alignment vertical="center" wrapText="1"/>
    </xf>
    <xf numFmtId="0" fontId="3" fillId="5" borderId="9" xfId="0" applyNumberFormat="1" applyFont="1" applyFill="1" applyBorder="1" applyAlignment="1">
      <alignment vertical="center" wrapText="1"/>
    </xf>
    <xf numFmtId="200" fontId="3" fillId="5" borderId="10" xfId="0" applyNumberFormat="1" applyFont="1" applyFill="1" applyBorder="1" applyAlignment="1">
      <alignment vertical="center" wrapText="1"/>
    </xf>
    <xf numFmtId="0" fontId="4" fillId="6" borderId="1" xfId="0" applyNumberFormat="1" applyFont="1" applyFill="1" applyBorder="1" applyAlignment="1">
      <alignment horizontal="left" vertical="center" wrapText="1"/>
    </xf>
    <xf numFmtId="0" fontId="4" fillId="6" borderId="2" xfId="0" applyNumberFormat="1" applyFont="1" applyFill="1" applyBorder="1" applyAlignment="1">
      <alignment horizontal="left" vertical="center" wrapText="1"/>
    </xf>
    <xf numFmtId="0" fontId="4" fillId="6" borderId="3" xfId="0" applyNumberFormat="1" applyFont="1" applyFill="1" applyBorder="1" applyAlignment="1">
      <alignment horizontal="left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NumberFormat="1" applyFont="1" applyFill="1" applyBorder="1" applyAlignment="1">
      <alignment horizontal="center" vertical="center" wrapText="1"/>
    </xf>
    <xf numFmtId="0" fontId="3" fillId="5" borderId="20" xfId="0" applyNumberFormat="1" applyFont="1" applyFill="1" applyBorder="1" applyAlignment="1">
      <alignment vertical="center" wrapText="1"/>
    </xf>
    <xf numFmtId="200" fontId="3" fillId="5" borderId="23" xfId="0" applyNumberFormat="1" applyFont="1" applyFill="1" applyBorder="1" applyAlignment="1">
      <alignment vertical="center" wrapText="1"/>
    </xf>
    <xf numFmtId="200" fontId="3" fillId="5" borderId="19" xfId="0" applyNumberFormat="1" applyFont="1" applyFill="1" applyBorder="1" applyAlignment="1">
      <alignment vertical="center" wrapText="1"/>
    </xf>
    <xf numFmtId="0" fontId="3" fillId="5" borderId="6" xfId="0" applyNumberFormat="1" applyFont="1" applyFill="1" applyBorder="1" applyAlignment="1">
      <alignment vertical="center" wrapText="1"/>
    </xf>
    <xf numFmtId="0" fontId="3" fillId="5" borderId="1" xfId="0" applyNumberFormat="1" applyFont="1" applyFill="1" applyBorder="1" applyAlignment="1">
      <alignment vertical="center" wrapText="1"/>
    </xf>
    <xf numFmtId="0" fontId="3" fillId="5" borderId="10" xfId="0" applyNumberFormat="1" applyFont="1" applyFill="1" applyBorder="1" applyAlignment="1">
      <alignment vertical="center" wrapText="1"/>
    </xf>
    <xf numFmtId="0" fontId="3" fillId="5" borderId="11" xfId="0" applyNumberFormat="1" applyFont="1" applyFill="1" applyBorder="1" applyAlignment="1">
      <alignment vertical="center" wrapText="1"/>
    </xf>
    <xf numFmtId="0" fontId="3" fillId="5" borderId="12" xfId="0" applyNumberFormat="1" applyFont="1" applyFill="1" applyBorder="1" applyAlignment="1">
      <alignment vertical="center" wrapText="1"/>
    </xf>
    <xf numFmtId="0" fontId="3" fillId="5" borderId="13" xfId="0" applyNumberFormat="1" applyFont="1" applyFill="1" applyBorder="1" applyAlignment="1">
      <alignment vertical="center" wrapText="1"/>
    </xf>
    <xf numFmtId="200" fontId="3" fillId="6" borderId="5" xfId="0" applyNumberFormat="1" applyFont="1" applyFill="1" applyBorder="1" applyAlignment="1">
      <alignment vertical="center" wrapText="1"/>
    </xf>
    <xf numFmtId="0" fontId="3" fillId="6" borderId="5" xfId="0" applyNumberFormat="1" applyFont="1" applyFill="1" applyBorder="1" applyAlignment="1">
      <alignment vertical="center" wrapText="1"/>
    </xf>
    <xf numFmtId="0" fontId="3" fillId="6" borderId="6" xfId="0" applyNumberFormat="1" applyFont="1" applyFill="1" applyBorder="1" applyAlignment="1">
      <alignment vertical="center" wrapText="1"/>
    </xf>
    <xf numFmtId="0" fontId="3" fillId="5" borderId="14" xfId="0" applyNumberFormat="1" applyFont="1" applyFill="1" applyBorder="1" applyAlignment="1">
      <alignment vertical="center" wrapText="1"/>
    </xf>
    <xf numFmtId="0" fontId="3" fillId="5" borderId="15" xfId="0" applyNumberFormat="1" applyFont="1" applyFill="1" applyBorder="1" applyAlignment="1">
      <alignment vertical="center" wrapText="1"/>
    </xf>
    <xf numFmtId="200" fontId="3" fillId="6" borderId="7" xfId="0" applyNumberFormat="1" applyFont="1" applyFill="1" applyBorder="1" applyAlignment="1">
      <alignment vertical="center" wrapText="1"/>
    </xf>
    <xf numFmtId="0" fontId="3" fillId="6" borderId="7" xfId="0" applyNumberFormat="1" applyFont="1" applyFill="1" applyBorder="1" applyAlignment="1">
      <alignment vertical="center" wrapText="1"/>
    </xf>
    <xf numFmtId="0" fontId="3" fillId="6" borderId="1" xfId="0" applyNumberFormat="1" applyFont="1" applyFill="1" applyBorder="1" applyAlignment="1">
      <alignment vertical="center" wrapText="1"/>
    </xf>
    <xf numFmtId="0" fontId="3" fillId="5" borderId="16" xfId="0" applyNumberFormat="1" applyFont="1" applyFill="1" applyBorder="1" applyAlignment="1">
      <alignment vertical="center" wrapText="1"/>
    </xf>
    <xf numFmtId="0" fontId="3" fillId="5" borderId="17" xfId="0" applyNumberFormat="1" applyFont="1" applyFill="1" applyBorder="1" applyAlignment="1">
      <alignment vertical="center" wrapText="1"/>
    </xf>
    <xf numFmtId="0" fontId="3" fillId="5" borderId="18" xfId="0" applyNumberFormat="1" applyFont="1" applyFill="1" applyBorder="1" applyAlignment="1">
      <alignment vertical="center" wrapText="1"/>
    </xf>
    <xf numFmtId="200" fontId="3" fillId="6" borderId="9" xfId="0" applyNumberFormat="1" applyFont="1" applyFill="1" applyBorder="1" applyAlignment="1">
      <alignment vertical="center" wrapText="1"/>
    </xf>
    <xf numFmtId="0" fontId="3" fillId="6" borderId="9" xfId="0" applyNumberFormat="1" applyFont="1" applyFill="1" applyBorder="1" applyAlignment="1">
      <alignment vertical="center" wrapText="1"/>
    </xf>
    <xf numFmtId="0" fontId="3" fillId="6" borderId="10" xfId="0" applyNumberFormat="1" applyFont="1" applyFill="1" applyBorder="1" applyAlignment="1">
      <alignment vertical="center" wrapText="1"/>
    </xf>
    <xf numFmtId="0" fontId="4" fillId="6" borderId="1" xfId="0" applyNumberFormat="1" applyFont="1" applyFill="1" applyBorder="1" applyAlignment="1">
      <alignment horizontal="center" wrapText="1"/>
    </xf>
    <xf numFmtId="0" fontId="4" fillId="6" borderId="2" xfId="0" applyNumberFormat="1" applyFont="1" applyFill="1" applyBorder="1" applyAlignment="1">
      <alignment horizontal="center" wrapText="1"/>
    </xf>
    <xf numFmtId="0" fontId="4" fillId="6" borderId="3" xfId="0" applyNumberFormat="1" applyFont="1" applyFill="1" applyBorder="1" applyAlignment="1">
      <alignment horizontal="center" wrapText="1"/>
    </xf>
    <xf numFmtId="0" fontId="3" fillId="5" borderId="5" xfId="0" applyNumberFormat="1" applyFont="1" applyFill="1" applyBorder="1" applyAlignment="1">
      <alignment horizontal="center" vertical="center" wrapText="1"/>
    </xf>
    <xf numFmtId="200" fontId="3" fillId="5" borderId="5" xfId="0" applyNumberFormat="1" applyFont="1" applyFill="1" applyBorder="1" applyAlignment="1">
      <alignment vertical="center" wrapText="1"/>
    </xf>
    <xf numFmtId="0" fontId="3" fillId="5" borderId="7" xfId="0" applyNumberFormat="1" applyFont="1" applyFill="1" applyBorder="1" applyAlignment="1">
      <alignment horizontal="center" vertical="center" wrapText="1"/>
    </xf>
    <xf numFmtId="200" fontId="3" fillId="5" borderId="7" xfId="0" applyNumberFormat="1" applyFont="1" applyFill="1" applyBorder="1" applyAlignment="1">
      <alignment vertical="center" wrapText="1"/>
    </xf>
    <xf numFmtId="0" fontId="3" fillId="5" borderId="9" xfId="0" applyNumberFormat="1" applyFont="1" applyFill="1" applyBorder="1" applyAlignment="1">
      <alignment horizontal="center" vertical="center" wrapText="1"/>
    </xf>
    <xf numFmtId="200" fontId="3" fillId="5" borderId="9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201" fontId="3" fillId="5" borderId="5" xfId="0" applyNumberFormat="1" applyFont="1" applyFill="1" applyBorder="1" applyAlignment="1">
      <alignment vertical="center" wrapText="1"/>
    </xf>
    <xf numFmtId="201" fontId="3" fillId="5" borderId="7" xfId="0" applyNumberFormat="1" applyFont="1" applyFill="1" applyBorder="1" applyAlignment="1">
      <alignment vertical="center" wrapText="1"/>
    </xf>
    <xf numFmtId="201" fontId="3" fillId="5" borderId="9" xfId="0" applyNumberFormat="1" applyFont="1" applyFill="1" applyBorder="1" applyAlignment="1">
      <alignment vertical="center" wrapText="1"/>
    </xf>
    <xf numFmtId="202" fontId="3" fillId="5" borderId="5" xfId="0" applyNumberFormat="1" applyFont="1" applyFill="1" applyBorder="1" applyAlignment="1">
      <alignment vertical="center" wrapText="1"/>
    </xf>
    <xf numFmtId="202" fontId="3" fillId="5" borderId="7" xfId="0" applyNumberFormat="1" applyFont="1" applyFill="1" applyBorder="1" applyAlignment="1">
      <alignment vertical="center" wrapText="1"/>
    </xf>
    <xf numFmtId="202" fontId="3" fillId="5" borderId="9" xfId="0" applyNumberFormat="1" applyFont="1" applyFill="1" applyBorder="1" applyAlignment="1">
      <alignment vertical="center" wrapText="1"/>
    </xf>
    <xf numFmtId="0" fontId="3" fillId="5" borderId="23" xfId="0" applyNumberFormat="1" applyFont="1" applyFill="1" applyBorder="1" applyAlignment="1">
      <alignment vertical="center" wrapText="1"/>
    </xf>
    <xf numFmtId="202" fontId="3" fillId="5" borderId="23" xfId="0" applyNumberFormat="1" applyFont="1" applyFill="1" applyBorder="1" applyAlignment="1">
      <alignment vertical="center" wrapText="1"/>
    </xf>
    <xf numFmtId="0" fontId="3" fillId="5" borderId="19" xfId="0" applyNumberFormat="1" applyFont="1" applyFill="1" applyBorder="1" applyAlignment="1">
      <alignment vertical="center" wrapText="1"/>
    </xf>
    <xf numFmtId="0" fontId="5" fillId="5" borderId="3" xfId="0" applyNumberFormat="1" applyFont="1" applyFill="1" applyBorder="1" applyAlignment="1">
      <alignment horizontal="center" vertical="center" wrapText="1"/>
    </xf>
    <xf numFmtId="200" fontId="5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2" borderId="0" xfId="0" applyNumberFormat="1" applyFont="1" applyFill="1" applyBorder="1" applyProtection="1">
      <protection locked="0"/>
    </xf>
    <xf numFmtId="0" fontId="0" fillId="3" borderId="0" xfId="0" applyNumberFormat="1" applyFont="1" applyFill="1" applyBorder="1" applyProtection="1">
      <protection locked="0"/>
    </xf>
    <xf numFmtId="0" fontId="1" fillId="3" borderId="0" xfId="0" applyNumberFormat="1" applyFont="1" applyFill="1" applyBorder="1" applyProtection="1">
      <protection locked="0"/>
    </xf>
    <xf numFmtId="0" fontId="1" fillId="3" borderId="0" xfId="0" applyNumberFormat="1" applyFont="1" applyFill="1" applyBorder="1" applyAlignment="1" applyProtection="1">
      <alignment horizontal="center"/>
      <protection locked="0"/>
    </xf>
    <xf numFmtId="0" fontId="1" fillId="3" borderId="0" xfId="0" applyNumberFormat="1" applyFont="1" applyFill="1" applyBorder="1" applyAlignment="1" applyProtection="1">
      <alignment horizontal="center" vertical="center"/>
      <protection locked="0"/>
    </xf>
    <xf numFmtId="0" fontId="0" fillId="4" borderId="0" xfId="0" applyNumberFormat="1" applyFont="1" applyFill="1" applyBorder="1" applyProtection="1">
      <protection locked="0"/>
    </xf>
    <xf numFmtId="0" fontId="2" fillId="4" borderId="0" xfId="0" applyNumberFormat="1" applyFont="1" applyFill="1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0" fontId="2" fillId="4" borderId="2" xfId="0" applyNumberFormat="1" applyFont="1" applyFill="1" applyBorder="1" applyProtection="1">
      <protection locked="0"/>
    </xf>
    <xf numFmtId="0" fontId="2" fillId="4" borderId="3" xfId="0" applyNumberFormat="1" applyFont="1" applyFill="1" applyBorder="1" applyProtection="1">
      <protection locked="0"/>
    </xf>
    <xf numFmtId="0" fontId="2" fillId="4" borderId="1" xfId="0" applyNumberFormat="1" applyFont="1" applyFill="1" applyBorder="1" applyAlignment="1" applyProtection="1">
      <alignment horizontal="center"/>
      <protection locked="0"/>
    </xf>
    <xf numFmtId="0" fontId="2" fillId="4" borderId="2" xfId="0" applyNumberFormat="1" applyFont="1" applyFill="1" applyBorder="1" applyAlignment="1" applyProtection="1">
      <alignment horizontal="center"/>
      <protection locked="0"/>
    </xf>
    <xf numFmtId="0" fontId="2" fillId="4" borderId="3" xfId="0" applyNumberFormat="1" applyFont="1" applyFill="1" applyBorder="1" applyAlignment="1" applyProtection="1">
      <alignment horizontal="center"/>
      <protection locked="0"/>
    </xf>
    <xf numFmtId="0" fontId="2" fillId="4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2" xfId="0" applyNumberFormat="1" applyFont="1" applyFill="1" applyBorder="1" applyAlignment="1" applyProtection="1">
      <alignment horizontal="center" vertical="center"/>
      <protection locked="0"/>
    </xf>
    <xf numFmtId="0" fontId="2" fillId="4" borderId="3" xfId="0" applyNumberFormat="1" applyFont="1" applyFill="1" applyBorder="1" applyAlignment="1" applyProtection="1">
      <alignment horizontal="center" vertical="center"/>
      <protection locked="0"/>
    </xf>
    <xf numFmtId="0" fontId="0" fillId="5" borderId="0" xfId="0" applyNumberFormat="1" applyFont="1" applyFill="1" applyBorder="1" applyProtection="1">
      <protection locked="0"/>
    </xf>
    <xf numFmtId="0" fontId="3" fillId="5" borderId="0" xfId="0" applyNumberFormat="1" applyFont="1" applyFill="1" applyBorder="1" applyProtection="1">
      <protection locked="0"/>
    </xf>
    <xf numFmtId="0" fontId="3" fillId="5" borderId="4" xfId="0" applyNumberFormat="1" applyFont="1" applyFill="1" applyBorder="1" applyProtection="1">
      <protection locked="0"/>
    </xf>
    <xf numFmtId="0" fontId="3" fillId="5" borderId="5" xfId="0" applyNumberFormat="1" applyFont="1" applyFill="1" applyBorder="1" applyProtection="1">
      <protection locked="0"/>
    </xf>
    <xf numFmtId="0" fontId="3" fillId="5" borderId="6" xfId="0" applyNumberFormat="1" applyFont="1" applyFill="1" applyBorder="1" applyProtection="1">
      <protection locked="0"/>
    </xf>
    <xf numFmtId="0" fontId="3" fillId="5" borderId="3" xfId="0" applyNumberFormat="1" applyFont="1" applyFill="1" applyBorder="1" applyProtection="1">
      <protection locked="0"/>
    </xf>
    <xf numFmtId="0" fontId="3" fillId="5" borderId="7" xfId="0" applyNumberFormat="1" applyFont="1" applyFill="1" applyBorder="1" applyProtection="1">
      <protection locked="0"/>
    </xf>
    <xf numFmtId="0" fontId="3" fillId="5" borderId="1" xfId="0" applyNumberFormat="1" applyFont="1" applyFill="1" applyBorder="1" applyProtection="1">
      <protection locked="0"/>
    </xf>
    <xf numFmtId="0" fontId="3" fillId="5" borderId="8" xfId="0" applyNumberFormat="1" applyFont="1" applyFill="1" applyBorder="1" applyProtection="1">
      <protection locked="0"/>
    </xf>
    <xf numFmtId="0" fontId="3" fillId="5" borderId="9" xfId="0" applyNumberFormat="1" applyFont="1" applyFill="1" applyBorder="1" applyProtection="1">
      <protection locked="0"/>
    </xf>
    <xf numFmtId="0" fontId="3" fillId="5" borderId="10" xfId="0" applyNumberFormat="1" applyFont="1" applyFill="1" applyBorder="1" applyProtection="1">
      <protection locked="0"/>
    </xf>
    <xf numFmtId="0" fontId="3" fillId="5" borderId="4" xfId="0" applyNumberFormat="1" applyFont="1" applyFill="1" applyBorder="1" applyAlignment="1" applyProtection="1">
      <alignment vertical="center"/>
      <protection locked="0"/>
    </xf>
    <xf numFmtId="0" fontId="3" fillId="5" borderId="5" xfId="0" applyNumberFormat="1" applyFont="1" applyFill="1" applyBorder="1" applyAlignment="1" applyProtection="1">
      <alignment vertical="center"/>
      <protection locked="0"/>
    </xf>
    <xf numFmtId="0" fontId="3" fillId="5" borderId="6" xfId="0" applyNumberFormat="1" applyFont="1" applyFill="1" applyBorder="1" applyAlignment="1" applyProtection="1">
      <alignment vertical="center"/>
      <protection locked="0"/>
    </xf>
    <xf numFmtId="0" fontId="3" fillId="5" borderId="3" xfId="0" applyNumberFormat="1" applyFont="1" applyFill="1" applyBorder="1" applyAlignment="1" applyProtection="1">
      <alignment vertical="center"/>
      <protection locked="0"/>
    </xf>
    <xf numFmtId="0" fontId="3" fillId="5" borderId="7" xfId="0" applyNumberFormat="1" applyFont="1" applyFill="1" applyBorder="1" applyAlignment="1" applyProtection="1">
      <alignment vertical="center"/>
      <protection locked="0"/>
    </xf>
    <xf numFmtId="0" fontId="3" fillId="5" borderId="1" xfId="0" applyNumberFormat="1" applyFont="1" applyFill="1" applyBorder="1" applyAlignment="1" applyProtection="1">
      <alignment vertical="center"/>
      <protection locked="0"/>
    </xf>
    <xf numFmtId="0" fontId="3" fillId="5" borderId="8" xfId="0" applyNumberFormat="1" applyFont="1" applyFill="1" applyBorder="1" applyAlignment="1" applyProtection="1">
      <alignment vertical="center"/>
      <protection locked="0"/>
    </xf>
    <xf numFmtId="0" fontId="3" fillId="5" borderId="9" xfId="0" applyNumberFormat="1" applyFont="1" applyFill="1" applyBorder="1" applyAlignment="1" applyProtection="1">
      <alignment vertical="center"/>
      <protection locked="0"/>
    </xf>
    <xf numFmtId="0" fontId="3" fillId="5" borderId="10" xfId="0" applyNumberFormat="1" applyFont="1" applyFill="1" applyBorder="1" applyAlignment="1" applyProtection="1">
      <alignment vertical="center"/>
      <protection locked="0"/>
    </xf>
    <xf numFmtId="0" fontId="3" fillId="5" borderId="11" xfId="0" applyNumberFormat="1" applyFont="1" applyFill="1" applyBorder="1" applyAlignment="1" applyProtection="1">
      <alignment vertical="center"/>
      <protection locked="0"/>
    </xf>
    <xf numFmtId="0" fontId="3" fillId="5" borderId="12" xfId="0" applyNumberFormat="1" applyFont="1" applyFill="1" applyBorder="1" applyAlignment="1" applyProtection="1">
      <alignment vertical="center"/>
      <protection locked="0"/>
    </xf>
    <xf numFmtId="0" fontId="3" fillId="5" borderId="13" xfId="0" applyNumberFormat="1" applyFont="1" applyFill="1" applyBorder="1" applyAlignment="1" applyProtection="1">
      <alignment vertical="center"/>
      <protection locked="0"/>
    </xf>
    <xf numFmtId="0" fontId="3" fillId="5" borderId="14" xfId="0" applyNumberFormat="1" applyFont="1" applyFill="1" applyBorder="1" applyAlignment="1" applyProtection="1">
      <alignment vertical="center"/>
      <protection locked="0"/>
    </xf>
    <xf numFmtId="0" fontId="3" fillId="5" borderId="15" xfId="0" applyNumberFormat="1" applyFont="1" applyFill="1" applyBorder="1" applyAlignment="1" applyProtection="1">
      <alignment vertical="center"/>
      <protection locked="0"/>
    </xf>
    <xf numFmtId="0" fontId="3" fillId="5" borderId="16" xfId="0" applyNumberFormat="1" applyFont="1" applyFill="1" applyBorder="1" applyAlignment="1" applyProtection="1">
      <alignment vertical="center"/>
      <protection locked="0"/>
    </xf>
    <xf numFmtId="0" fontId="3" fillId="5" borderId="17" xfId="0" applyNumberFormat="1" applyFont="1" applyFill="1" applyBorder="1" applyAlignment="1" applyProtection="1">
      <alignment vertical="center"/>
      <protection locked="0"/>
    </xf>
    <xf numFmtId="0" fontId="3" fillId="5" borderId="18" xfId="0" applyNumberFormat="1" applyFont="1" applyFill="1" applyBorder="1" applyAlignment="1" applyProtection="1">
      <alignment vertical="center"/>
      <protection locked="0"/>
    </xf>
    <xf numFmtId="0" fontId="3" fillId="6" borderId="5" xfId="0" applyNumberFormat="1" applyFont="1" applyFill="1" applyBorder="1" applyAlignment="1" applyProtection="1">
      <alignment vertical="center"/>
      <protection locked="0"/>
    </xf>
    <xf numFmtId="0" fontId="3" fillId="6" borderId="6" xfId="0" applyNumberFormat="1" applyFont="1" applyFill="1" applyBorder="1" applyAlignment="1" applyProtection="1">
      <alignment vertical="center"/>
      <protection locked="0"/>
    </xf>
    <xf numFmtId="0" fontId="3" fillId="6" borderId="7" xfId="0" applyNumberFormat="1" applyFont="1" applyFill="1" applyBorder="1" applyAlignment="1" applyProtection="1">
      <alignment vertical="center"/>
      <protection locked="0"/>
    </xf>
    <xf numFmtId="0" fontId="3" fillId="6" borderId="1" xfId="0" applyNumberFormat="1" applyFont="1" applyFill="1" applyBorder="1" applyAlignment="1" applyProtection="1">
      <alignment vertical="center"/>
      <protection locked="0"/>
    </xf>
    <xf numFmtId="0" fontId="3" fillId="6" borderId="9" xfId="0" applyNumberFormat="1" applyFont="1" applyFill="1" applyBorder="1" applyAlignment="1" applyProtection="1">
      <alignment vertical="center"/>
      <protection locked="0"/>
    </xf>
    <xf numFmtId="0" fontId="3" fillId="6" borderId="10" xfId="0" applyNumberFormat="1" applyFont="1" applyFill="1" applyBorder="1" applyAlignment="1" applyProtection="1">
      <alignment vertical="center"/>
      <protection locked="0"/>
    </xf>
    <xf numFmtId="200" fontId="3" fillId="6" borderId="5" xfId="0" applyNumberFormat="1" applyFont="1" applyFill="1" applyBorder="1" applyAlignment="1" applyProtection="1">
      <alignment vertical="center"/>
      <protection locked="0"/>
    </xf>
    <xf numFmtId="200" fontId="3" fillId="6" borderId="7" xfId="0" applyNumberFormat="1" applyFont="1" applyFill="1" applyBorder="1" applyAlignment="1" applyProtection="1">
      <alignment vertical="center"/>
      <protection locked="0"/>
    </xf>
    <xf numFmtId="200" fontId="3" fillId="6" borderId="9" xfId="0" applyNumberFormat="1" applyFont="1" applyFill="1" applyBorder="1" applyAlignment="1" applyProtection="1">
      <alignment vertical="center"/>
      <protection locked="0"/>
    </xf>
    <xf numFmtId="0" fontId="0" fillId="6" borderId="0" xfId="0" applyNumberFormat="1" applyFont="1" applyFill="1" applyBorder="1" applyProtection="1">
      <protection locked="0"/>
    </xf>
    <xf numFmtId="0" fontId="4" fillId="6" borderId="0" xfId="0" applyNumberFormat="1" applyFont="1" applyFill="1" applyBorder="1" applyProtection="1">
      <protection locked="0"/>
    </xf>
    <xf numFmtId="0" fontId="4" fillId="6" borderId="1" xfId="0" applyNumberFormat="1" applyFont="1" applyFill="1" applyBorder="1" applyProtection="1">
      <protection locked="0"/>
    </xf>
    <xf numFmtId="0" fontId="4" fillId="6" borderId="2" xfId="0" applyNumberFormat="1" applyFont="1" applyFill="1" applyBorder="1" applyProtection="1">
      <protection locked="0"/>
    </xf>
    <xf numFmtId="0" fontId="4" fillId="6" borderId="3" xfId="0" applyNumberFormat="1" applyFont="1" applyFill="1" applyBorder="1" applyProtection="1">
      <protection locked="0"/>
    </xf>
    <xf numFmtId="0" fontId="4" fillId="6" borderId="1" xfId="0" applyNumberFormat="1" applyFont="1" applyFill="1" applyBorder="1" applyAlignment="1" applyProtection="1">
      <alignment horizontal="left"/>
      <protection locked="0"/>
    </xf>
    <xf numFmtId="0" fontId="4" fillId="6" borderId="2" xfId="0" applyNumberFormat="1" applyFont="1" applyFill="1" applyBorder="1" applyAlignment="1" applyProtection="1">
      <alignment horizontal="left"/>
      <protection locked="0"/>
    </xf>
    <xf numFmtId="0" fontId="4" fillId="6" borderId="3" xfId="0" applyNumberFormat="1" applyFont="1" applyFill="1" applyBorder="1" applyAlignment="1" applyProtection="1">
      <alignment horizontal="left"/>
      <protection locked="0"/>
    </xf>
    <xf numFmtId="0" fontId="4" fillId="6" borderId="1" xfId="0" applyNumberFormat="1" applyFont="1" applyFill="1" applyBorder="1" applyAlignment="1" applyProtection="1">
      <alignment horizontal="left" vertical="center"/>
      <protection locked="0"/>
    </xf>
    <xf numFmtId="0" fontId="4" fillId="6" borderId="2" xfId="0" applyNumberFormat="1" applyFont="1" applyFill="1" applyBorder="1" applyAlignment="1" applyProtection="1">
      <alignment horizontal="left" vertical="center"/>
      <protection locked="0"/>
    </xf>
    <xf numFmtId="0" fontId="4" fillId="6" borderId="3" xfId="0" applyNumberFormat="1" applyFont="1" applyFill="1" applyBorder="1" applyAlignment="1" applyProtection="1">
      <alignment horizontal="left" vertical="center"/>
      <protection locked="0"/>
    </xf>
    <xf numFmtId="0" fontId="4" fillId="6" borderId="1" xfId="0" applyNumberFormat="1" applyFont="1" applyFill="1" applyBorder="1" applyAlignment="1" applyProtection="1">
      <alignment horizontal="center"/>
      <protection locked="0"/>
    </xf>
    <xf numFmtId="0" fontId="4" fillId="6" borderId="2" xfId="0" applyNumberFormat="1" applyFont="1" applyFill="1" applyBorder="1" applyAlignment="1" applyProtection="1">
      <alignment horizontal="center"/>
      <protection locked="0"/>
    </xf>
    <xf numFmtId="0" fontId="4" fillId="6" borderId="3" xfId="0" applyNumberFormat="1" applyFont="1" applyFill="1" applyBorder="1" applyAlignment="1" applyProtection="1">
      <alignment horizontal="center"/>
      <protection locked="0"/>
    </xf>
    <xf numFmtId="0" fontId="3" fillId="5" borderId="5" xfId="0" applyNumberFormat="1" applyFont="1" applyFill="1" applyBorder="1" applyAlignment="1" applyProtection="1">
      <alignment horizontal="center" vertical="center"/>
      <protection locked="0"/>
    </xf>
    <xf numFmtId="0" fontId="3" fillId="5" borderId="7" xfId="0" applyNumberFormat="1" applyFont="1" applyFill="1" applyBorder="1" applyAlignment="1" applyProtection="1">
      <alignment horizontal="center" vertical="center"/>
      <protection locked="0"/>
    </xf>
    <xf numFmtId="0" fontId="3" fillId="5" borderId="9" xfId="0" applyNumberFormat="1" applyFont="1" applyFill="1" applyBorder="1" applyAlignment="1" applyProtection="1">
      <alignment horizontal="center" vertical="center"/>
      <protection locked="0"/>
    </xf>
    <xf numFmtId="200" fontId="3" fillId="5" borderId="5" xfId="0" applyNumberFormat="1" applyFont="1" applyFill="1" applyBorder="1" applyAlignment="1" applyProtection="1">
      <alignment vertical="center"/>
      <protection locked="0"/>
    </xf>
    <xf numFmtId="200" fontId="3" fillId="5" borderId="7" xfId="0" applyNumberFormat="1" applyFont="1" applyFill="1" applyBorder="1" applyAlignment="1" applyProtection="1">
      <alignment vertical="center"/>
      <protection locked="0"/>
    </xf>
    <xf numFmtId="200" fontId="3" fillId="5" borderId="9" xfId="0" applyNumberFormat="1" applyFont="1" applyFill="1" applyBorder="1" applyAlignment="1" applyProtection="1">
      <alignment vertical="center"/>
      <protection locked="0"/>
    </xf>
    <xf numFmtId="0" fontId="2" fillId="3" borderId="0" xfId="0" applyNumberFormat="1" applyFont="1" applyFill="1" applyBorder="1" applyProtection="1">
      <protection locked="0"/>
    </xf>
    <xf numFmtId="0" fontId="2" fillId="3" borderId="1" xfId="0" applyNumberFormat="1" applyFont="1" applyFill="1" applyBorder="1" applyProtection="1">
      <protection locked="0"/>
    </xf>
    <xf numFmtId="0" fontId="2" fillId="3" borderId="2" xfId="0" applyNumberFormat="1" applyFont="1" applyFill="1" applyBorder="1" applyProtection="1">
      <protection locked="0"/>
    </xf>
    <xf numFmtId="0" fontId="2" fillId="3" borderId="3" xfId="0" applyNumberFormat="1" applyFont="1" applyFill="1" applyBorder="1" applyProtection="1">
      <protection locked="0"/>
    </xf>
    <xf numFmtId="0" fontId="2" fillId="3" borderId="1" xfId="0" applyNumberFormat="1" applyFont="1" applyFill="1" applyBorder="1" applyAlignment="1" applyProtection="1">
      <alignment horizontal="center"/>
      <protection locked="0"/>
    </xf>
    <xf numFmtId="0" fontId="2" fillId="3" borderId="2" xfId="0" applyNumberFormat="1" applyFont="1" applyFill="1" applyBorder="1" applyAlignment="1" applyProtection="1">
      <alignment horizontal="center"/>
      <protection locked="0"/>
    </xf>
    <xf numFmtId="0" fontId="2" fillId="3" borderId="3" xfId="0" applyNumberFormat="1" applyFont="1" applyFill="1" applyBorder="1" applyAlignment="1" applyProtection="1">
      <alignment horizont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2" xfId="0" applyNumberFormat="1" applyFont="1" applyFill="1" applyBorder="1" applyAlignment="1" applyProtection="1">
      <alignment horizontal="center" vertical="center"/>
      <protection locked="0"/>
    </xf>
    <xf numFmtId="0" fontId="2" fillId="3" borderId="3" xfId="0" applyNumberFormat="1" applyFont="1" applyFill="1" applyBorder="1" applyAlignment="1" applyProtection="1">
      <alignment horizontal="center" vertical="center"/>
      <protection locked="0"/>
    </xf>
    <xf numFmtId="201" fontId="3" fillId="5" borderId="5" xfId="0" applyNumberFormat="1" applyFont="1" applyFill="1" applyBorder="1" applyAlignment="1" applyProtection="1">
      <alignment vertical="center"/>
      <protection locked="0"/>
    </xf>
    <xf numFmtId="201" fontId="3" fillId="5" borderId="7" xfId="0" applyNumberFormat="1" applyFont="1" applyFill="1" applyBorder="1" applyAlignment="1" applyProtection="1">
      <alignment vertical="center"/>
      <protection locked="0"/>
    </xf>
    <xf numFmtId="201" fontId="3" fillId="5" borderId="9" xfId="0" applyNumberFormat="1" applyFont="1" applyFill="1" applyBorder="1" applyAlignment="1" applyProtection="1">
      <alignment vertical="center"/>
      <protection locked="0"/>
    </xf>
    <xf numFmtId="0" fontId="0" fillId="7" borderId="0" xfId="0" applyNumberFormat="1" applyFont="1" applyFill="1" applyBorder="1" applyProtection="1">
      <protection locked="0"/>
    </xf>
    <xf numFmtId="0" fontId="2" fillId="7" borderId="0" xfId="0" applyNumberFormat="1" applyFont="1" applyFill="1" applyBorder="1" applyProtection="1">
      <protection locked="0"/>
    </xf>
    <xf numFmtId="0" fontId="2" fillId="7" borderId="1" xfId="0" applyNumberFormat="1" applyFont="1" applyFill="1" applyBorder="1" applyProtection="1">
      <protection locked="0"/>
    </xf>
    <xf numFmtId="0" fontId="2" fillId="7" borderId="2" xfId="0" applyNumberFormat="1" applyFont="1" applyFill="1" applyBorder="1" applyProtection="1">
      <protection locked="0"/>
    </xf>
    <xf numFmtId="0" fontId="2" fillId="7" borderId="3" xfId="0" applyNumberFormat="1" applyFont="1" applyFill="1" applyBorder="1" applyProtection="1">
      <protection locked="0"/>
    </xf>
    <xf numFmtId="0" fontId="2" fillId="7" borderId="1" xfId="0" applyNumberFormat="1" applyFont="1" applyFill="1" applyBorder="1" applyAlignment="1" applyProtection="1">
      <alignment horizontal="center"/>
      <protection locked="0"/>
    </xf>
    <xf numFmtId="0" fontId="2" fillId="7" borderId="2" xfId="0" applyNumberFormat="1" applyFont="1" applyFill="1" applyBorder="1" applyAlignment="1" applyProtection="1">
      <alignment horizontal="center"/>
      <protection locked="0"/>
    </xf>
    <xf numFmtId="0" fontId="2" fillId="7" borderId="3" xfId="0" applyNumberFormat="1" applyFont="1" applyFill="1" applyBorder="1" applyAlignment="1" applyProtection="1">
      <alignment horizontal="center"/>
      <protection locked="0"/>
    </xf>
    <xf numFmtId="0" fontId="2" fillId="7" borderId="1" xfId="0" applyNumberFormat="1" applyFont="1" applyFill="1" applyBorder="1" applyAlignment="1" applyProtection="1">
      <alignment horizontal="center" vertical="center"/>
      <protection locked="0"/>
    </xf>
    <xf numFmtId="0" fontId="2" fillId="7" borderId="2" xfId="0" applyNumberFormat="1" applyFont="1" applyFill="1" applyBorder="1" applyAlignment="1" applyProtection="1">
      <alignment horizontal="center" vertical="center"/>
      <protection locked="0"/>
    </xf>
    <xf numFmtId="0" fontId="2" fillId="7" borderId="3" xfId="0" applyNumberFormat="1" applyFont="1" applyFill="1" applyBorder="1" applyAlignment="1" applyProtection="1">
      <alignment horizontal="center" vertical="center"/>
      <protection locked="0"/>
    </xf>
    <xf numFmtId="200" fontId="3" fillId="5" borderId="6" xfId="0" applyNumberFormat="1" applyFont="1" applyFill="1" applyBorder="1" applyAlignment="1" applyProtection="1">
      <alignment vertical="center"/>
      <protection locked="0"/>
    </xf>
    <xf numFmtId="200" fontId="3" fillId="5" borderId="1" xfId="0" applyNumberFormat="1" applyFont="1" applyFill="1" applyBorder="1" applyAlignment="1" applyProtection="1">
      <alignment vertical="center"/>
      <protection locked="0"/>
    </xf>
    <xf numFmtId="200" fontId="3" fillId="5" borderId="10" xfId="0" applyNumberFormat="1" applyFont="1" applyFill="1" applyBorder="1" applyAlignment="1" applyProtection="1">
      <alignment vertical="center"/>
      <protection locked="0"/>
    </xf>
    <xf numFmtId="0" fontId="0" fillId="8" borderId="0" xfId="0" applyNumberFormat="1" applyFont="1" applyFill="1" applyBorder="1" applyProtection="1">
      <protection locked="0"/>
    </xf>
    <xf numFmtId="0" fontId="2" fillId="8" borderId="0" xfId="0" applyNumberFormat="1" applyFont="1" applyFill="1" applyBorder="1" applyProtection="1">
      <protection locked="0"/>
    </xf>
    <xf numFmtId="0" fontId="2" fillId="8" borderId="1" xfId="0" applyNumberFormat="1" applyFont="1" applyFill="1" applyBorder="1" applyProtection="1">
      <protection locked="0"/>
    </xf>
    <xf numFmtId="0" fontId="2" fillId="8" borderId="2" xfId="0" applyNumberFormat="1" applyFont="1" applyFill="1" applyBorder="1" applyProtection="1">
      <protection locked="0"/>
    </xf>
    <xf numFmtId="0" fontId="2" fillId="8" borderId="3" xfId="0" applyNumberFormat="1" applyFont="1" applyFill="1" applyBorder="1" applyProtection="1">
      <protection locked="0"/>
    </xf>
    <xf numFmtId="0" fontId="2" fillId="8" borderId="1" xfId="0" applyNumberFormat="1" applyFont="1" applyFill="1" applyBorder="1" applyAlignment="1" applyProtection="1">
      <alignment horizontal="center"/>
      <protection locked="0"/>
    </xf>
    <xf numFmtId="0" fontId="2" fillId="8" borderId="2" xfId="0" applyNumberFormat="1" applyFont="1" applyFill="1" applyBorder="1" applyAlignment="1" applyProtection="1">
      <alignment horizontal="center"/>
      <protection locked="0"/>
    </xf>
    <xf numFmtId="0" fontId="2" fillId="8" borderId="3" xfId="0" applyNumberFormat="1" applyFont="1" applyFill="1" applyBorder="1" applyAlignment="1" applyProtection="1">
      <alignment horizontal="center"/>
      <protection locked="0"/>
    </xf>
    <xf numFmtId="0" fontId="2" fillId="8" borderId="1" xfId="0" applyNumberFormat="1" applyFont="1" applyFill="1" applyBorder="1" applyAlignment="1" applyProtection="1">
      <alignment horizontal="center" vertical="center"/>
      <protection locked="0"/>
    </xf>
    <xf numFmtId="0" fontId="2" fillId="8" borderId="2" xfId="0" applyNumberFormat="1" applyFont="1" applyFill="1" applyBorder="1" applyAlignment="1" applyProtection="1">
      <alignment horizontal="center" vertical="center"/>
      <protection locked="0"/>
    </xf>
    <xf numFmtId="0" fontId="2" fillId="8" borderId="3" xfId="0" applyNumberFormat="1" applyFont="1" applyFill="1" applyBorder="1" applyAlignment="1" applyProtection="1">
      <alignment horizontal="center" vertical="center"/>
      <protection locked="0"/>
    </xf>
    <xf numFmtId="0" fontId="2" fillId="5" borderId="2" xfId="0" applyNumberFormat="1" applyFont="1" applyFill="1" applyBorder="1" applyAlignment="1" applyProtection="1">
      <alignment horizontal="center" vertical="center"/>
      <protection locked="0"/>
    </xf>
    <xf numFmtId="0" fontId="5" fillId="5" borderId="2" xfId="0" applyNumberFormat="1" applyFont="1" applyFill="1" applyBorder="1" applyAlignment="1" applyProtection="1">
      <alignment horizontal="center" vertical="center"/>
      <protection locked="0"/>
    </xf>
    <xf numFmtId="0" fontId="5" fillId="5" borderId="3" xfId="0" applyNumberFormat="1" applyFont="1" applyFill="1" applyBorder="1" applyAlignment="1" applyProtection="1">
      <alignment horizontal="center" vertical="center"/>
      <protection locked="0"/>
    </xf>
    <xf numFmtId="0" fontId="5" fillId="5" borderId="1" xfId="0" applyNumberFormat="1" applyFont="1" applyFill="1" applyBorder="1" applyAlignment="1" applyProtection="1">
      <alignment horizontal="center" vertical="center"/>
      <protection locked="0"/>
    </xf>
    <xf numFmtId="200" fontId="5" fillId="5" borderId="1" xfId="0" applyNumberFormat="1" applyFont="1" applyFill="1" applyBorder="1" applyAlignment="1" applyProtection="1">
      <alignment horizontal="center" vertical="center"/>
      <protection locked="0"/>
    </xf>
    <xf numFmtId="0" fontId="0" fillId="9" borderId="0" xfId="0" applyNumberFormat="1" applyFont="1" applyFill="1" applyBorder="1" applyProtection="1">
      <protection locked="0"/>
    </xf>
    <xf numFmtId="0" fontId="6" fillId="9" borderId="0" xfId="0" applyNumberFormat="1" applyFont="1" applyFill="1" applyBorder="1" applyProtection="1">
      <protection locked="0"/>
    </xf>
    <xf numFmtId="0" fontId="6" fillId="9" borderId="0" xfId="0" applyNumberFormat="1" applyFont="1" applyFill="1" applyBorder="1" applyAlignment="1" applyProtection="1">
      <alignment horizontal="center"/>
      <protection locked="0"/>
    </xf>
    <xf numFmtId="0" fontId="7" fillId="5" borderId="0" xfId="0" applyNumberFormat="1" applyFont="1" applyFill="1" applyBorder="1" applyProtection="1">
      <protection locked="0"/>
    </xf>
    <xf numFmtId="0" fontId="7" fillId="5" borderId="10" xfId="0" applyNumberFormat="1" applyFont="1" applyFill="1" applyBorder="1" applyProtection="1">
      <protection locked="0"/>
    </xf>
    <xf numFmtId="0" fontId="7" fillId="5" borderId="8" xfId="0" applyNumberFormat="1" applyFont="1" applyFill="1" applyBorder="1" applyProtection="1">
      <protection locked="0"/>
    </xf>
    <xf numFmtId="0" fontId="7" fillId="5" borderId="19" xfId="0" applyNumberFormat="1" applyFont="1" applyFill="1" applyBorder="1" applyProtection="1">
      <protection locked="0"/>
    </xf>
    <xf numFmtId="0" fontId="7" fillId="5" borderId="20" xfId="0" applyNumberFormat="1" applyFont="1" applyFill="1" applyBorder="1" applyProtection="1">
      <protection locked="0"/>
    </xf>
    <xf numFmtId="0" fontId="7" fillId="5" borderId="6" xfId="0" applyNumberFormat="1" applyFont="1" applyFill="1" applyBorder="1" applyProtection="1">
      <protection locked="0"/>
    </xf>
    <xf numFmtId="0" fontId="7" fillId="5" borderId="4" xfId="0" applyNumberFormat="1" applyFont="1" applyFill="1" applyBorder="1" applyProtection="1">
      <protection locked="0"/>
    </xf>
    <xf numFmtId="0" fontId="7" fillId="5" borderId="10" xfId="0" applyNumberFormat="1" applyFont="1" applyFill="1" applyBorder="1" applyAlignment="1" applyProtection="1">
      <alignment horizontal="center"/>
      <protection locked="0"/>
    </xf>
    <xf numFmtId="0" fontId="7" fillId="5" borderId="8" xfId="0" applyNumberFormat="1" applyFont="1" applyFill="1" applyBorder="1" applyAlignment="1" applyProtection="1">
      <alignment horizontal="center"/>
      <protection locked="0"/>
    </xf>
    <xf numFmtId="0" fontId="7" fillId="5" borderId="19" xfId="0" applyNumberFormat="1" applyFont="1" applyFill="1" applyBorder="1" applyAlignment="1" applyProtection="1">
      <alignment horizontal="center"/>
      <protection locked="0"/>
    </xf>
    <xf numFmtId="0" fontId="7" fillId="5" borderId="20" xfId="0" applyNumberFormat="1" applyFont="1" applyFill="1" applyBorder="1" applyAlignment="1" applyProtection="1">
      <alignment horizontal="center"/>
      <protection locked="0"/>
    </xf>
    <xf numFmtId="0" fontId="7" fillId="5" borderId="6" xfId="0" applyNumberFormat="1" applyFont="1" applyFill="1" applyBorder="1" applyAlignment="1" applyProtection="1">
      <alignment horizontal="center"/>
      <protection locked="0"/>
    </xf>
    <xf numFmtId="0" fontId="7" fillId="5" borderId="4" xfId="0" applyNumberFormat="1" applyFont="1" applyFill="1" applyBorder="1" applyAlignment="1" applyProtection="1">
      <alignment horizontal="center"/>
      <protection locked="0"/>
    </xf>
    <xf numFmtId="0" fontId="7" fillId="5" borderId="10" xfId="0" applyNumberFormat="1" applyFont="1" applyFill="1" applyBorder="1" applyAlignment="1" applyProtection="1">
      <alignment horizontal="center" vertical="center"/>
      <protection locked="0"/>
    </xf>
    <xf numFmtId="0" fontId="7" fillId="5" borderId="8" xfId="0" applyNumberFormat="1" applyFont="1" applyFill="1" applyBorder="1" applyAlignment="1" applyProtection="1">
      <alignment horizontal="center" vertical="center"/>
      <protection locked="0"/>
    </xf>
    <xf numFmtId="0" fontId="7" fillId="5" borderId="19" xfId="0" applyNumberFormat="1" applyFont="1" applyFill="1" applyBorder="1" applyAlignment="1" applyProtection="1">
      <alignment horizontal="center" vertical="center"/>
      <protection locked="0"/>
    </xf>
    <xf numFmtId="0" fontId="7" fillId="5" borderId="20" xfId="0" applyNumberFormat="1" applyFont="1" applyFill="1" applyBorder="1" applyAlignment="1" applyProtection="1">
      <alignment horizontal="center" vertical="center"/>
      <protection locked="0"/>
    </xf>
    <xf numFmtId="0" fontId="7" fillId="5" borderId="6" xfId="0" applyNumberFormat="1" applyFont="1" applyFill="1" applyBorder="1" applyAlignment="1" applyProtection="1">
      <alignment horizontal="center" vertical="center"/>
      <protection locked="0"/>
    </xf>
    <xf numFmtId="0" fontId="7" fillId="5" borderId="4" xfId="0" applyNumberFormat="1" applyFont="1" applyFill="1" applyBorder="1" applyAlignment="1" applyProtection="1">
      <alignment horizontal="center" vertical="center"/>
      <protection locked="0"/>
    </xf>
    <xf numFmtId="0" fontId="7" fillId="4" borderId="10" xfId="0" applyNumberFormat="1" applyFont="1" applyFill="1" applyBorder="1" applyAlignment="1" applyProtection="1">
      <alignment horizontal="center" vertical="center"/>
      <protection locked="0"/>
    </xf>
    <xf numFmtId="0" fontId="7" fillId="4" borderId="8" xfId="0" applyNumberFormat="1" applyFont="1" applyFill="1" applyBorder="1" applyAlignment="1" applyProtection="1">
      <alignment horizontal="center" vertical="center"/>
      <protection locked="0"/>
    </xf>
    <xf numFmtId="0" fontId="2" fillId="4" borderId="10" xfId="0" applyNumberFormat="1" applyFont="1" applyFill="1" applyBorder="1" applyAlignment="1" applyProtection="1">
      <alignment horizontal="center" vertical="center"/>
      <protection locked="0"/>
    </xf>
    <xf numFmtId="0" fontId="2" fillId="4" borderId="8" xfId="0" applyNumberFormat="1" applyFont="1" applyFill="1" applyBorder="1" applyAlignment="1" applyProtection="1">
      <alignment horizontal="center" vertical="center"/>
      <protection locked="0"/>
    </xf>
    <xf numFmtId="0" fontId="8" fillId="5" borderId="19" xfId="0" applyNumberFormat="1" applyFont="1" applyFill="1" applyBorder="1" applyAlignment="1" applyProtection="1">
      <alignment horizontal="center" vertical="center"/>
      <protection locked="0"/>
    </xf>
    <xf numFmtId="0" fontId="8" fillId="5" borderId="20" xfId="0" applyNumberFormat="1" applyFont="1" applyFill="1" applyBorder="1" applyAlignment="1" applyProtection="1">
      <alignment horizontal="center" vertical="center"/>
      <protection locked="0"/>
    </xf>
    <xf numFmtId="200" fontId="8" fillId="5" borderId="19" xfId="0" applyNumberFormat="1" applyFont="1" applyFill="1" applyBorder="1" applyAlignment="1" applyProtection="1">
      <alignment horizontal="center" vertical="center"/>
      <protection locked="0"/>
    </xf>
    <xf numFmtId="0" fontId="0" fillId="6" borderId="10" xfId="0" applyNumberFormat="1" applyFont="1" applyFill="1" applyBorder="1" applyProtection="1">
      <protection locked="0"/>
    </xf>
    <xf numFmtId="0" fontId="0" fillId="6" borderId="21" xfId="0" applyNumberFormat="1" applyFont="1" applyFill="1" applyBorder="1" applyProtection="1">
      <protection locked="0"/>
    </xf>
    <xf numFmtId="0" fontId="0" fillId="6" borderId="8" xfId="0" applyNumberFormat="1" applyFont="1" applyFill="1" applyBorder="1" applyProtection="1">
      <protection locked="0"/>
    </xf>
    <xf numFmtId="0" fontId="0" fillId="6" borderId="6" xfId="0" applyNumberFormat="1" applyFont="1" applyFill="1" applyBorder="1" applyProtection="1">
      <protection locked="0"/>
    </xf>
    <xf numFmtId="0" fontId="0" fillId="6" borderId="22" xfId="0" applyNumberFormat="1" applyFont="1" applyFill="1" applyBorder="1" applyProtection="1">
      <protection locked="0"/>
    </xf>
    <xf numFmtId="0" fontId="0" fillId="6" borderId="4" xfId="0" applyNumberFormat="1" applyFont="1" applyFill="1" applyBorder="1" applyProtection="1">
      <protection locked="0"/>
    </xf>
    <xf numFmtId="0" fontId="9" fillId="6" borderId="10" xfId="0" applyNumberFormat="1" applyFont="1" applyFill="1" applyBorder="1" applyProtection="1">
      <protection locked="0"/>
    </xf>
    <xf numFmtId="0" fontId="9" fillId="6" borderId="21" xfId="0" applyNumberFormat="1" applyFont="1" applyFill="1" applyBorder="1" applyProtection="1">
      <protection locked="0"/>
    </xf>
    <xf numFmtId="0" fontId="9" fillId="6" borderId="8" xfId="0" applyNumberFormat="1" applyFont="1" applyFill="1" applyBorder="1" applyProtection="1">
      <protection locked="0"/>
    </xf>
    <xf numFmtId="0" fontId="9" fillId="6" borderId="6" xfId="0" applyNumberFormat="1" applyFont="1" applyFill="1" applyBorder="1" applyProtection="1">
      <protection locked="0"/>
    </xf>
    <xf numFmtId="0" fontId="9" fillId="6" borderId="22" xfId="0" applyNumberFormat="1" applyFont="1" applyFill="1" applyBorder="1" applyProtection="1">
      <protection locked="0"/>
    </xf>
    <xf numFmtId="0" fontId="9" fillId="6" borderId="4" xfId="0" applyNumberFormat="1" applyFont="1" applyFill="1" applyBorder="1" applyProtection="1">
      <protection locked="0"/>
    </xf>
    <xf numFmtId="0" fontId="9" fillId="6" borderId="10" xfId="0" applyNumberFormat="1" applyFont="1" applyFill="1" applyBorder="1" applyAlignment="1" applyProtection="1">
      <alignment horizontal="center"/>
      <protection locked="0"/>
    </xf>
    <xf numFmtId="0" fontId="9" fillId="6" borderId="21" xfId="0" applyNumberFormat="1" applyFont="1" applyFill="1" applyBorder="1" applyAlignment="1" applyProtection="1">
      <alignment horizontal="center"/>
      <protection locked="0"/>
    </xf>
    <xf numFmtId="0" fontId="9" fillId="6" borderId="8" xfId="0" applyNumberFormat="1" applyFont="1" applyFill="1" applyBorder="1" applyAlignment="1" applyProtection="1">
      <alignment horizontal="center"/>
      <protection locked="0"/>
    </xf>
    <xf numFmtId="0" fontId="9" fillId="6" borderId="6" xfId="0" applyNumberFormat="1" applyFont="1" applyFill="1" applyBorder="1" applyAlignment="1" applyProtection="1">
      <alignment horizontal="center"/>
      <protection locked="0"/>
    </xf>
    <xf numFmtId="0" fontId="9" fillId="6" borderId="22" xfId="0" applyNumberFormat="1" applyFont="1" applyFill="1" applyBorder="1" applyAlignment="1" applyProtection="1">
      <alignment horizontal="center"/>
      <protection locked="0"/>
    </xf>
    <xf numFmtId="0" fontId="9" fillId="6" borderId="4" xfId="0" applyNumberFormat="1" applyFont="1" applyFill="1" applyBorder="1" applyAlignment="1" applyProtection="1">
      <alignment horizontal="center"/>
      <protection locked="0"/>
    </xf>
    <xf numFmtId="0" fontId="9" fillId="6" borderId="10" xfId="0" applyNumberFormat="1" applyFont="1" applyFill="1" applyBorder="1" applyAlignment="1" applyProtection="1">
      <alignment horizontal="center" vertical="center"/>
      <protection locked="0"/>
    </xf>
    <xf numFmtId="0" fontId="9" fillId="6" borderId="21" xfId="0" applyNumberFormat="1" applyFont="1" applyFill="1" applyBorder="1" applyAlignment="1" applyProtection="1">
      <alignment horizontal="center" vertical="center"/>
      <protection locked="0"/>
    </xf>
    <xf numFmtId="0" fontId="9" fillId="6" borderId="8" xfId="0" applyNumberFormat="1" applyFont="1" applyFill="1" applyBorder="1" applyAlignment="1" applyProtection="1">
      <alignment horizontal="center" vertical="center"/>
      <protection locked="0"/>
    </xf>
    <xf numFmtId="0" fontId="9" fillId="6" borderId="6" xfId="0" applyNumberFormat="1" applyFont="1" applyFill="1" applyBorder="1" applyAlignment="1" applyProtection="1">
      <alignment horizontal="center" vertical="center"/>
      <protection locked="0"/>
    </xf>
    <xf numFmtId="0" fontId="9" fillId="6" borderId="22" xfId="0" applyNumberFormat="1" applyFont="1" applyFill="1" applyBorder="1" applyAlignment="1" applyProtection="1">
      <alignment horizontal="center" vertical="center"/>
      <protection locked="0"/>
    </xf>
    <xf numFmtId="0" fontId="9" fillId="6" borderId="4" xfId="0" applyNumberFormat="1" applyFont="1" applyFill="1" applyBorder="1" applyAlignment="1" applyProtection="1">
      <alignment horizontal="center" vertical="center"/>
      <protection locked="0"/>
    </xf>
    <xf numFmtId="0" fontId="3" fillId="5" borderId="20" xfId="0" applyNumberFormat="1" applyFont="1" applyFill="1" applyBorder="1" applyProtection="1">
      <protection locked="0"/>
    </xf>
    <xf numFmtId="0" fontId="3" fillId="5" borderId="23" xfId="0" applyNumberFormat="1" applyFont="1" applyFill="1" applyBorder="1" applyProtection="1">
      <protection locked="0"/>
    </xf>
    <xf numFmtId="0" fontId="3" fillId="5" borderId="19" xfId="0" applyNumberFormat="1" applyFont="1" applyFill="1" applyBorder="1" applyProtection="1">
      <protection locked="0"/>
    </xf>
    <xf numFmtId="0" fontId="3" fillId="5" borderId="20" xfId="0" applyNumberFormat="1" applyFont="1" applyFill="1" applyBorder="1" applyAlignment="1" applyProtection="1">
      <alignment vertical="center"/>
      <protection locked="0"/>
    </xf>
    <xf numFmtId="0" fontId="3" fillId="5" borderId="23" xfId="0" applyNumberFormat="1" applyFont="1" applyFill="1" applyBorder="1" applyAlignment="1" applyProtection="1">
      <alignment vertical="center"/>
      <protection locked="0"/>
    </xf>
    <xf numFmtId="0" fontId="3" fillId="5" borderId="19" xfId="0" applyNumberFormat="1" applyFont="1" applyFill="1" applyBorder="1" applyAlignment="1" applyProtection="1">
      <alignment vertical="center"/>
      <protection locked="0"/>
    </xf>
    <xf numFmtId="200" fontId="3" fillId="5" borderId="23" xfId="0" applyNumberFormat="1" applyFont="1" applyFill="1" applyBorder="1" applyAlignment="1" applyProtection="1">
      <alignment vertical="center"/>
      <protection locked="0"/>
    </xf>
    <xf numFmtId="200" fontId="3" fillId="5" borderId="19" xfId="0" applyNumberFormat="1" applyFont="1" applyFill="1" applyBorder="1" applyAlignment="1" applyProtection="1">
      <alignment vertical="center"/>
      <protection locked="0"/>
    </xf>
    <xf numFmtId="202" fontId="3" fillId="5" borderId="5" xfId="0" applyNumberFormat="1" applyFont="1" applyFill="1" applyBorder="1" applyAlignment="1" applyProtection="1">
      <alignment vertical="center"/>
      <protection locked="0"/>
    </xf>
    <xf numFmtId="202" fontId="3" fillId="5" borderId="7" xfId="0" applyNumberFormat="1" applyFont="1" applyFill="1" applyBorder="1" applyAlignment="1" applyProtection="1">
      <alignment vertical="center"/>
      <protection locked="0"/>
    </xf>
    <xf numFmtId="202" fontId="3" fillId="5" borderId="9" xfId="0" applyNumberFormat="1" applyFont="1" applyFill="1" applyBorder="1" applyAlignment="1" applyProtection="1">
      <alignment vertical="center"/>
      <protection locked="0"/>
    </xf>
    <xf numFmtId="202" fontId="3" fillId="5" borderId="23" xfId="0" applyNumberFormat="1" applyFont="1" applyFill="1" applyBorder="1" applyAlignment="1" applyProtection="1">
      <alignment vertical="center"/>
      <protection locked="0"/>
    </xf>
    <xf numFmtId="0" fontId="1" fillId="3" borderId="0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NumberFormat="1" applyFont="1" applyFill="1" applyBorder="1" applyAlignment="1" applyProtection="1">
      <alignment wrapText="1"/>
      <protection locked="0"/>
    </xf>
    <xf numFmtId="0" fontId="6" fillId="9" borderId="0" xfId="0" applyNumberFormat="1" applyFont="1" applyFill="1" applyBorder="1" applyAlignment="1" applyProtection="1">
      <alignment horizontal="center" wrapText="1"/>
      <protection locked="0"/>
    </xf>
    <xf numFmtId="0" fontId="2" fillId="4" borderId="10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8" xfId="0" applyNumberFormat="1" applyFont="1" applyFill="1" applyBorder="1" applyAlignment="1" applyProtection="1">
      <alignment horizontal="center" vertical="center" wrapText="1"/>
      <protection locked="0"/>
    </xf>
    <xf numFmtId="200" fontId="8" fillId="5" borderId="19" xfId="0" applyNumberFormat="1" applyFont="1" applyFill="1" applyBorder="1" applyAlignment="1" applyProtection="1">
      <alignment horizontal="center" vertical="center" wrapText="1"/>
      <protection locked="0"/>
    </xf>
    <xf numFmtId="0" fontId="8" fillId="5" borderId="20" xfId="0" applyNumberFormat="1" applyFont="1" applyFill="1" applyBorder="1" applyAlignment="1" applyProtection="1">
      <alignment horizontal="center" vertical="center" wrapText="1"/>
      <protection locked="0"/>
    </xf>
    <xf numFmtId="0" fontId="8" fillId="5" borderId="19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6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4" xfId="0" applyNumberFormat="1" applyFont="1" applyFill="1" applyBorder="1" applyAlignment="1" applyProtection="1">
      <alignment horizontal="center" vertical="center" wrapText="1"/>
      <protection locked="0"/>
    </xf>
    <xf numFmtId="0" fontId="9" fillId="6" borderId="10" xfId="0" applyNumberFormat="1" applyFont="1" applyFill="1" applyBorder="1" applyAlignment="1" applyProtection="1">
      <alignment horizontal="center" vertical="center" wrapText="1"/>
      <protection locked="0"/>
    </xf>
    <xf numFmtId="0" fontId="9" fillId="6" borderId="21" xfId="0" applyNumberFormat="1" applyFont="1" applyFill="1" applyBorder="1" applyAlignment="1" applyProtection="1">
      <alignment horizontal="center" vertical="center" wrapText="1"/>
      <protection locked="0"/>
    </xf>
    <xf numFmtId="0" fontId="9" fillId="6" borderId="8" xfId="0" applyNumberFormat="1" applyFont="1" applyFill="1" applyBorder="1" applyAlignment="1" applyProtection="1">
      <alignment horizontal="center" vertical="center" wrapText="1"/>
      <protection locked="0"/>
    </xf>
    <xf numFmtId="0" fontId="9" fillId="6" borderId="6" xfId="0" applyNumberFormat="1" applyFont="1" applyFill="1" applyBorder="1" applyAlignment="1" applyProtection="1">
      <alignment horizontal="center" vertical="center" wrapText="1"/>
      <protection locked="0"/>
    </xf>
    <xf numFmtId="0" fontId="9" fillId="6" borderId="22" xfId="0" applyNumberFormat="1" applyFont="1" applyFill="1" applyBorder="1" applyAlignment="1" applyProtection="1">
      <alignment horizontal="center" vertical="center" wrapText="1"/>
      <protection locked="0"/>
    </xf>
    <xf numFmtId="0" fontId="9" fillId="6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7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7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8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8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5" borderId="4" xfId="0" applyNumberFormat="1" applyFont="1" applyFill="1" applyBorder="1" applyAlignment="1" applyProtection="1">
      <alignment vertical="center" wrapText="1"/>
      <protection locked="0"/>
    </xf>
    <xf numFmtId="0" fontId="3" fillId="5" borderId="5" xfId="0" applyNumberFormat="1" applyFont="1" applyFill="1" applyBorder="1" applyAlignment="1" applyProtection="1">
      <alignment vertical="center" wrapText="1"/>
      <protection locked="0"/>
    </xf>
    <xf numFmtId="200" fontId="3" fillId="5" borderId="6" xfId="0" applyNumberFormat="1" applyFont="1" applyFill="1" applyBorder="1" applyAlignment="1" applyProtection="1">
      <alignment vertical="center" wrapText="1"/>
      <protection locked="0"/>
    </xf>
    <xf numFmtId="0" fontId="3" fillId="5" borderId="3" xfId="0" applyNumberFormat="1" applyFont="1" applyFill="1" applyBorder="1" applyAlignment="1" applyProtection="1">
      <alignment vertical="center" wrapText="1"/>
      <protection locked="0"/>
    </xf>
    <xf numFmtId="0" fontId="3" fillId="5" borderId="7" xfId="0" applyNumberFormat="1" applyFont="1" applyFill="1" applyBorder="1" applyAlignment="1" applyProtection="1">
      <alignment vertical="center" wrapText="1"/>
      <protection locked="0"/>
    </xf>
    <xf numFmtId="200" fontId="3" fillId="5" borderId="1" xfId="0" applyNumberFormat="1" applyFont="1" applyFill="1" applyBorder="1" applyAlignment="1" applyProtection="1">
      <alignment vertical="center" wrapText="1"/>
      <protection locked="0"/>
    </xf>
    <xf numFmtId="0" fontId="3" fillId="5" borderId="8" xfId="0" applyNumberFormat="1" applyFont="1" applyFill="1" applyBorder="1" applyAlignment="1" applyProtection="1">
      <alignment vertical="center" wrapText="1"/>
      <protection locked="0"/>
    </xf>
    <xf numFmtId="0" fontId="3" fillId="5" borderId="9" xfId="0" applyNumberFormat="1" applyFont="1" applyFill="1" applyBorder="1" applyAlignment="1" applyProtection="1">
      <alignment vertical="center" wrapText="1"/>
      <protection locked="0"/>
    </xf>
    <xf numFmtId="200" fontId="3" fillId="5" borderId="10" xfId="0" applyNumberFormat="1" applyFont="1" applyFill="1" applyBorder="1" applyAlignment="1" applyProtection="1">
      <alignment vertical="center" wrapText="1"/>
      <protection locked="0"/>
    </xf>
    <xf numFmtId="0" fontId="4" fillId="6" borderId="1" xfId="0" applyNumberFormat="1" applyFont="1" applyFill="1" applyBorder="1" applyAlignment="1" applyProtection="1">
      <alignment horizontal="left" vertical="center" wrapText="1"/>
      <protection locked="0"/>
    </xf>
    <xf numFmtId="0" fontId="4" fillId="6" borderId="2" xfId="0" applyNumberFormat="1" applyFont="1" applyFill="1" applyBorder="1" applyAlignment="1" applyProtection="1">
      <alignment horizontal="left" vertical="center" wrapText="1"/>
      <protection locked="0"/>
    </xf>
    <xf numFmtId="0" fontId="4" fillId="6" borderId="3" xfId="0" applyNumberFormat="1" applyFont="1" applyFill="1" applyBorder="1" applyAlignment="1" applyProtection="1">
      <alignment horizontal="left" vertical="center" wrapText="1"/>
      <protection locked="0"/>
    </xf>
    <xf numFmtId="0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5" borderId="20" xfId="0" applyNumberFormat="1" applyFont="1" applyFill="1" applyBorder="1" applyAlignment="1" applyProtection="1">
      <alignment vertical="center" wrapText="1"/>
      <protection locked="0"/>
    </xf>
    <xf numFmtId="200" fontId="3" fillId="5" borderId="23" xfId="0" applyNumberFormat="1" applyFont="1" applyFill="1" applyBorder="1" applyAlignment="1" applyProtection="1">
      <alignment vertical="center" wrapText="1"/>
      <protection locked="0"/>
    </xf>
    <xf numFmtId="200" fontId="3" fillId="5" borderId="19" xfId="0" applyNumberFormat="1" applyFont="1" applyFill="1" applyBorder="1" applyAlignment="1" applyProtection="1">
      <alignment vertical="center" wrapText="1"/>
      <protection locked="0"/>
    </xf>
    <xf numFmtId="0" fontId="3" fillId="5" borderId="6" xfId="0" applyNumberFormat="1" applyFont="1" applyFill="1" applyBorder="1" applyAlignment="1" applyProtection="1">
      <alignment vertical="center" wrapText="1"/>
      <protection locked="0"/>
    </xf>
    <xf numFmtId="0" fontId="3" fillId="5" borderId="1" xfId="0" applyNumberFormat="1" applyFont="1" applyFill="1" applyBorder="1" applyAlignment="1" applyProtection="1">
      <alignment vertical="center" wrapText="1"/>
      <protection locked="0"/>
    </xf>
    <xf numFmtId="0" fontId="3" fillId="5" borderId="10" xfId="0" applyNumberFormat="1" applyFont="1" applyFill="1" applyBorder="1" applyAlignment="1" applyProtection="1">
      <alignment vertical="center" wrapText="1"/>
      <protection locked="0"/>
    </xf>
    <xf numFmtId="0" fontId="3" fillId="5" borderId="11" xfId="0" applyNumberFormat="1" applyFont="1" applyFill="1" applyBorder="1" applyAlignment="1" applyProtection="1">
      <alignment vertical="center" wrapText="1"/>
      <protection locked="0"/>
    </xf>
    <xf numFmtId="0" fontId="3" fillId="5" borderId="12" xfId="0" applyNumberFormat="1" applyFont="1" applyFill="1" applyBorder="1" applyAlignment="1" applyProtection="1">
      <alignment vertical="center" wrapText="1"/>
      <protection locked="0"/>
    </xf>
    <xf numFmtId="0" fontId="3" fillId="5" borderId="13" xfId="0" applyNumberFormat="1" applyFont="1" applyFill="1" applyBorder="1" applyAlignment="1" applyProtection="1">
      <alignment vertical="center" wrapText="1"/>
      <protection locked="0"/>
    </xf>
    <xf numFmtId="200" fontId="3" fillId="6" borderId="5" xfId="0" applyNumberFormat="1" applyFont="1" applyFill="1" applyBorder="1" applyAlignment="1" applyProtection="1">
      <alignment vertical="center" wrapText="1"/>
      <protection locked="0"/>
    </xf>
    <xf numFmtId="0" fontId="3" fillId="6" borderId="5" xfId="0" applyNumberFormat="1" applyFont="1" applyFill="1" applyBorder="1" applyAlignment="1" applyProtection="1">
      <alignment vertical="center" wrapText="1"/>
      <protection locked="0"/>
    </xf>
    <xf numFmtId="0" fontId="3" fillId="6" borderId="6" xfId="0" applyNumberFormat="1" applyFont="1" applyFill="1" applyBorder="1" applyAlignment="1" applyProtection="1">
      <alignment vertical="center" wrapText="1"/>
      <protection locked="0"/>
    </xf>
    <xf numFmtId="0" fontId="3" fillId="5" borderId="14" xfId="0" applyNumberFormat="1" applyFont="1" applyFill="1" applyBorder="1" applyAlignment="1" applyProtection="1">
      <alignment vertical="center" wrapText="1"/>
      <protection locked="0"/>
    </xf>
    <xf numFmtId="0" fontId="3" fillId="5" borderId="15" xfId="0" applyNumberFormat="1" applyFont="1" applyFill="1" applyBorder="1" applyAlignment="1" applyProtection="1">
      <alignment vertical="center" wrapText="1"/>
      <protection locked="0"/>
    </xf>
    <xf numFmtId="200" fontId="3" fillId="6" borderId="7" xfId="0" applyNumberFormat="1" applyFont="1" applyFill="1" applyBorder="1" applyAlignment="1" applyProtection="1">
      <alignment vertical="center" wrapText="1"/>
      <protection locked="0"/>
    </xf>
    <xf numFmtId="0" fontId="3" fillId="6" borderId="7" xfId="0" applyNumberFormat="1" applyFont="1" applyFill="1" applyBorder="1" applyAlignment="1" applyProtection="1">
      <alignment vertical="center" wrapText="1"/>
      <protection locked="0"/>
    </xf>
    <xf numFmtId="0" fontId="3" fillId="6" borderId="1" xfId="0" applyNumberFormat="1" applyFont="1" applyFill="1" applyBorder="1" applyAlignment="1" applyProtection="1">
      <alignment vertical="center" wrapText="1"/>
      <protection locked="0"/>
    </xf>
    <xf numFmtId="0" fontId="3" fillId="5" borderId="16" xfId="0" applyNumberFormat="1" applyFont="1" applyFill="1" applyBorder="1" applyAlignment="1" applyProtection="1">
      <alignment vertical="center" wrapText="1"/>
      <protection locked="0"/>
    </xf>
    <xf numFmtId="0" fontId="3" fillId="5" borderId="17" xfId="0" applyNumberFormat="1" applyFont="1" applyFill="1" applyBorder="1" applyAlignment="1" applyProtection="1">
      <alignment vertical="center" wrapText="1"/>
      <protection locked="0"/>
    </xf>
    <xf numFmtId="0" fontId="3" fillId="5" borderId="18" xfId="0" applyNumberFormat="1" applyFont="1" applyFill="1" applyBorder="1" applyAlignment="1" applyProtection="1">
      <alignment vertical="center" wrapText="1"/>
      <protection locked="0"/>
    </xf>
    <xf numFmtId="200" fontId="3" fillId="6" borderId="9" xfId="0" applyNumberFormat="1" applyFont="1" applyFill="1" applyBorder="1" applyAlignment="1" applyProtection="1">
      <alignment vertical="center" wrapText="1"/>
      <protection locked="0"/>
    </xf>
    <xf numFmtId="0" fontId="3" fillId="6" borderId="9" xfId="0" applyNumberFormat="1" applyFont="1" applyFill="1" applyBorder="1" applyAlignment="1" applyProtection="1">
      <alignment vertical="center" wrapText="1"/>
      <protection locked="0"/>
    </xf>
    <xf numFmtId="0" fontId="3" fillId="6" borderId="10" xfId="0" applyNumberFormat="1" applyFont="1" applyFill="1" applyBorder="1" applyAlignment="1" applyProtection="1">
      <alignment vertical="center" wrapText="1"/>
      <protection locked="0"/>
    </xf>
    <xf numFmtId="0" fontId="4" fillId="6" borderId="1" xfId="0" applyNumberFormat="1" applyFont="1" applyFill="1" applyBorder="1" applyAlignment="1" applyProtection="1">
      <alignment horizontal="center" wrapText="1"/>
      <protection locked="0"/>
    </xf>
    <xf numFmtId="0" fontId="4" fillId="6" borderId="2" xfId="0" applyNumberFormat="1" applyFont="1" applyFill="1" applyBorder="1" applyAlignment="1" applyProtection="1">
      <alignment horizontal="center" wrapText="1"/>
      <protection locked="0"/>
    </xf>
    <xf numFmtId="0" fontId="4" fillId="6" borderId="3" xfId="0" applyNumberFormat="1" applyFont="1" applyFill="1" applyBorder="1" applyAlignment="1" applyProtection="1">
      <alignment horizontal="center" wrapText="1"/>
      <protection locked="0"/>
    </xf>
    <xf numFmtId="0" fontId="3" fillId="5" borderId="5" xfId="0" applyNumberFormat="1" applyFont="1" applyFill="1" applyBorder="1" applyAlignment="1" applyProtection="1">
      <alignment horizontal="center" vertical="center" wrapText="1"/>
      <protection locked="0"/>
    </xf>
    <xf numFmtId="200" fontId="3" fillId="5" borderId="5" xfId="0" applyNumberFormat="1" applyFont="1" applyFill="1" applyBorder="1" applyAlignment="1" applyProtection="1">
      <alignment vertical="center" wrapText="1"/>
      <protection locked="0"/>
    </xf>
    <xf numFmtId="0" fontId="3" fillId="5" borderId="7" xfId="0" applyNumberFormat="1" applyFont="1" applyFill="1" applyBorder="1" applyAlignment="1" applyProtection="1">
      <alignment horizontal="center" vertical="center" wrapText="1"/>
      <protection locked="0"/>
    </xf>
    <xf numFmtId="200" fontId="3" fillId="5" borderId="7" xfId="0" applyNumberFormat="1" applyFont="1" applyFill="1" applyBorder="1" applyAlignment="1" applyProtection="1">
      <alignment vertical="center" wrapText="1"/>
      <protection locked="0"/>
    </xf>
    <xf numFmtId="0" fontId="3" fillId="5" borderId="9" xfId="0" applyNumberFormat="1" applyFont="1" applyFill="1" applyBorder="1" applyAlignment="1" applyProtection="1">
      <alignment horizontal="center" vertical="center" wrapText="1"/>
      <protection locked="0"/>
    </xf>
    <xf numFmtId="200" fontId="3" fillId="5" borderId="9" xfId="0" applyNumberFormat="1" applyFont="1" applyFill="1" applyBorder="1" applyAlignment="1" applyProtection="1">
      <alignment vertical="center" wrapText="1"/>
      <protection locked="0"/>
    </xf>
    <xf numFmtId="0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3" xfId="0" applyNumberFormat="1" applyFont="1" applyFill="1" applyBorder="1" applyAlignment="1" applyProtection="1">
      <alignment horizontal="center" vertical="center" wrapText="1"/>
      <protection locked="0"/>
    </xf>
    <xf numFmtId="201" fontId="3" fillId="5" borderId="5" xfId="0" applyNumberFormat="1" applyFont="1" applyFill="1" applyBorder="1" applyAlignment="1" applyProtection="1">
      <alignment vertical="center" wrapText="1"/>
      <protection locked="0"/>
    </xf>
    <xf numFmtId="201" fontId="3" fillId="5" borderId="7" xfId="0" applyNumberFormat="1" applyFont="1" applyFill="1" applyBorder="1" applyAlignment="1" applyProtection="1">
      <alignment vertical="center" wrapText="1"/>
      <protection locked="0"/>
    </xf>
    <xf numFmtId="201" fontId="3" fillId="5" borderId="9" xfId="0" applyNumberFormat="1" applyFont="1" applyFill="1" applyBorder="1" applyAlignment="1" applyProtection="1">
      <alignment vertical="center" wrapText="1"/>
      <protection locked="0"/>
    </xf>
    <xf numFmtId="202" fontId="3" fillId="5" borderId="5" xfId="0" applyNumberFormat="1" applyFont="1" applyFill="1" applyBorder="1" applyAlignment="1" applyProtection="1">
      <alignment vertical="center" wrapText="1"/>
      <protection locked="0"/>
    </xf>
    <xf numFmtId="202" fontId="3" fillId="5" borderId="7" xfId="0" applyNumberFormat="1" applyFont="1" applyFill="1" applyBorder="1" applyAlignment="1" applyProtection="1">
      <alignment vertical="center" wrapText="1"/>
      <protection locked="0"/>
    </xf>
    <xf numFmtId="202" fontId="3" fillId="5" borderId="9" xfId="0" applyNumberFormat="1" applyFont="1" applyFill="1" applyBorder="1" applyAlignment="1" applyProtection="1">
      <alignment vertical="center" wrapText="1"/>
      <protection locked="0"/>
    </xf>
    <xf numFmtId="0" fontId="3" fillId="5" borderId="23" xfId="0" applyNumberFormat="1" applyFont="1" applyFill="1" applyBorder="1" applyAlignment="1" applyProtection="1">
      <alignment vertical="center" wrapText="1"/>
      <protection locked="0"/>
    </xf>
    <xf numFmtId="202" fontId="3" fillId="5" borderId="23" xfId="0" applyNumberFormat="1" applyFont="1" applyFill="1" applyBorder="1" applyAlignment="1" applyProtection="1">
      <alignment vertical="center" wrapText="1"/>
      <protection locked="0"/>
    </xf>
    <xf numFmtId="0" fontId="3" fillId="5" borderId="19" xfId="0" applyNumberFormat="1" applyFont="1" applyFill="1" applyBorder="1" applyAlignment="1" applyProtection="1">
      <alignment vertical="center" wrapText="1"/>
      <protection locked="0"/>
    </xf>
    <xf numFmtId="0" fontId="5" fillId="5" borderId="3" xfId="0" applyNumberFormat="1" applyFont="1" applyFill="1" applyBorder="1" applyAlignment="1" applyProtection="1">
      <alignment horizontal="center" vertical="center" wrapText="1"/>
      <protection locked="0"/>
    </xf>
    <xf numFmtId="200" fontId="5" fillId="5" borderId="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 count="5">
    <dxf>
      <font>
        <b/>
        <color rgb="FF1A1A1A"/>
      </font>
    </dxf>
    <dxf>
      <font>
        <b/>
        <color rgb="FF1A1A1A"/>
      </font>
    </dxf>
    <dxf>
      <font>
        <b/>
        <color rgb="FF597A5A"/>
      </font>
    </dxf>
    <dxf>
      <font>
        <b/>
        <color rgb="FFC59B4A"/>
      </font>
    </dxf>
    <dxf>
      <font>
        <b/>
        <color rgb="FF9A4F43"/>
      </font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64279c4b614851" /><Relationship Type="http://schemas.openxmlformats.org/officeDocument/2006/relationships/theme" Target="/xl/theme/theme1.xml" Id="R7b29b64a561e4df5" /><Relationship Type="http://schemas.openxmlformats.org/officeDocument/2006/relationships/sharedStrings" Target="/xl/sharedStrings.xml" Id="Ra2131467af1c4534" /><Relationship Type="http://schemas.openxmlformats.org/officeDocument/2006/relationships/worksheet" Target="/xl/worksheets/sheet1.xml" Id="R7acc87bc94964388" /><Relationship Type="http://schemas.openxmlformats.org/officeDocument/2006/relationships/worksheet" Target="/xl/worksheets/sheet2.xml" Id="R2a0bf0bb8f55409f" /><Relationship Type="http://schemas.openxmlformats.org/officeDocument/2006/relationships/worksheet" Target="/xl/worksheets/sheet3.xml" Id="R48fc96ef8bd54881" /><Relationship Type="http://schemas.openxmlformats.org/officeDocument/2006/relationships/worksheet" Target="/xl/worksheets/sheet4.xml" Id="R5b7b3590d0fc45ca" /><Relationship Type="http://schemas.openxmlformats.org/officeDocument/2006/relationships/worksheet" Target="/xl/worksheets/sheet5.xml" Id="Recb723ac422847a6" /><Relationship Type="http://schemas.openxmlformats.org/officeDocument/2006/relationships/worksheet" Target="/xl/worksheets/sheet6.xml" Id="R2533a29645444ce7" /><Relationship Type="http://schemas.openxmlformats.org/officeDocument/2006/relationships/worksheet" Target="/xl/worksheets/sheet7.xml" Id="R2f58ffb53627459e" /><Relationship Type="http://schemas.openxmlformats.org/officeDocument/2006/relationships/worksheet" Target="/xl/worksheets/sheet8.xml" Id="Rb065a2b33d5c4329" /><Relationship Type="http://schemas.openxmlformats.org/officeDocument/2006/relationships/worksheet" Target="/xl/worksheets/sheet9.xml" Id="Ra967001f9af04a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92e0e4527c4560" /><Relationship Type="http://schemas.openxmlformats.org/officeDocument/2006/relationships/chart" Target="/xl/drawings/charts/chart2.xml" Id="R895d0dad729d4d06" /><Relationship Type="http://schemas.openxmlformats.org/officeDocument/2006/relationships/chart" Target="/xl/drawings/charts/chart3.xml" Id="Raae2c99514084aa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2a0b41bc023491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8626c61d02bc47c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Progreso por hábito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%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'Data'!$L$3:$L$12</c:f>
              <c:strCache>
                <c:ptCount val="0"/>
              </c:strCache>
            </c:strRef>
          </c:cat>
          <c:val>
            <c:numRef>
              <c:f>'Data'!$M$3:$M$12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Cumplimiento por categoría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%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'Data'!$P$3:$P$13</c:f>
              <c:strCache>
                <c:ptCount val="0"/>
              </c:strCache>
            </c:strRef>
          </c:cat>
          <c:val>
            <c:numRef>
              <c:f>'Data'!$Q$3:$Q$13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Evolución diaria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% Día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'Data'!$AB$3:$AB$33</c:f>
              <c:strCache>
                <c:ptCount val="0"/>
              </c:strCache>
            </c:strRef>
          </c:cat>
          <c:val>
            <c:numRef>
              <c:f>'Data'!$AC$3:$AC$33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Cumplimiento semanal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%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'Vista Semanal'!$A$6:$A$10</c:f>
              <c:strCache>
                <c:ptCount val="0"/>
              </c:strCache>
            </c:strRef>
          </c:cat>
          <c:val>
            <c:numRef>
              <c:f>'Vista Semanal'!$B$6:$B$10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Evolución mensual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% Día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'Data'!$AB$3:$AB$33</c:f>
              <c:strCache>
                <c:ptCount val="0"/>
              </c:strCache>
            </c:strRef>
          </c:cat>
          <c:val>
            <c:numRef>
              <c:f>'Data'!$AC$3:$AC$33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11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92e0e4527c4560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5d0dad729d4d06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e2c99514084aa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a0b41bc023491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26c61d02bc47c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Habitos" displayName="tblHabitos" ref="A4:N24" headerRowCount="1">
  <x:autoFilter ref="A4:N24"/>
  <x:tableColumns count="14">
    <x:tableColumn id="1" name="ID"/>
    <x:tableColumn id="2" name="Hábito"/>
    <x:tableColumn id="3" name="Categoría"/>
    <x:tableColumn id="4" name="Frecuencia"/>
    <x:tableColumn id="5" name="Meta mensual"/>
    <x:tableColumn id="6" name="Prioridad"/>
    <x:tableColumn id="7" name="Activo"/>
    <x:tableColumn id="8" name="Entrada"/>
    <x:tableColumn id="9" name="% Cumpl."/>
    <x:tableColumn id="10" name="Sí"/>
    <x:tableColumn id="11" name="Parcial"/>
    <x:tableColumn id="12" name="No"/>
    <x:tableColumn id="13" name="Racha"/>
    <x:tableColumn id="14" name="Mejor"/>
  </x:tableColumns>
  <x:tableStyleInfo name="TableStyleMedium2" showRowStripes="1"/>
</x:table>
</file>

<file path=xl/tables/table2.xml><?xml version="1.0" encoding="utf-8"?>
<x:table xmlns:x="http://schemas.openxmlformats.org/spreadsheetml/2006/main" id="2" name="tblRegistro" displayName="tblRegistro" ref="A5:AM25" headerRowCount="1">
  <x:autoFilter ref="A5:AM25"/>
  <x:tableColumns count="39">
    <x:tableColumn id="1" name="ID"/>
    <x:tableColumn id="2" name="Hábito"/>
    <x:tableColumn id="3" name="Categoría"/>
    <x:tableColumn id="4" name="1"/>
    <x:tableColumn id="5" name="2"/>
    <x:tableColumn id="6" name="3"/>
    <x:tableColumn id="7" name="4"/>
    <x:tableColumn id="8" name="5"/>
    <x:tableColumn id="9" name="6"/>
    <x:tableColumn id="10" name="7"/>
    <x:tableColumn id="11" name="8"/>
    <x:tableColumn id="12" name="9"/>
    <x:tableColumn id="13" name="10"/>
    <x:tableColumn id="14" name="11"/>
    <x:tableColumn id="15" name="12"/>
    <x:tableColumn id="16" name="13"/>
    <x:tableColumn id="17" name="14"/>
    <x:tableColumn id="18" name="15"/>
    <x:tableColumn id="19" name="16"/>
    <x:tableColumn id="20" name="17"/>
    <x:tableColumn id="21" name="18"/>
    <x:tableColumn id="22" name="19"/>
    <x:tableColumn id="23" name="20"/>
    <x:tableColumn id="24" name="21"/>
    <x:tableColumn id="25" name="22"/>
    <x:tableColumn id="26" name="23"/>
    <x:tableColumn id="27" name="24"/>
    <x:tableColumn id="28" name="25"/>
    <x:tableColumn id="29" name="26"/>
    <x:tableColumn id="30" name="27"/>
    <x:tableColumn id="31" name="28"/>
    <x:tableColumn id="32" name="29"/>
    <x:tableColumn id="33" name="30"/>
    <x:tableColumn id="34" name="31"/>
    <x:tableColumn id="35" name="Sí"/>
    <x:tableColumn id="36" name="Parcial"/>
    <x:tableColumn id="37" name="No"/>
    <x:tableColumn id="38" name="%"/>
    <x:tableColumn id="39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tblDiario" displayName="tblDiario" ref="AI29:AO60" headerRowCount="1">
  <x:autoFilter ref="AI29:AO60"/>
  <x:tableColumns count="7">
    <x:tableColumn id="1" name="Día"/>
    <x:tableColumn id="2" name="Fecha"/>
    <x:tableColumn id="3" name="Ánimo"/>
    <x:tableColumn id="4" name="Energía"/>
    <x:tableColumn id="5" name="Sueño"/>
    <x:tableColumn id="6" name="Productividad"/>
    <x:tableColumn id="7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tblSemanal" displayName="tblSemanal" ref="A5:H10" headerRowCount="1">
  <x:autoFilter ref="A5:H10"/>
  <x:tableColumns count="8">
    <x:tableColumn id="1" name="Semana"/>
    <x:tableColumn id="2" name="%"/>
    <x:tableColumn id="3" name="Sí"/>
    <x:tableColumn id="4" name="Parcial"/>
    <x:tableColumn id="5" name="No"/>
    <x:tableColumn id="6" name="¿Qué funcionó?"/>
    <x:tableColumn id="7" name="¿Qué puedo mejorar?"/>
    <x:tableColumn id="8" name="Enfoque próximo"/>
  </x:tableColumns>
  <x:tableStyleInfo name="TableStyleMedium2" showRowStripes="1"/>
</x:table>
</file>

<file path=xl/tables/table5.xml><?xml version="1.0" encoding="utf-8"?>
<x:table xmlns:x="http://schemas.openxmlformats.org/spreadsheetml/2006/main" id="5" name="tblExtras" displayName="tblExtras" ref="A5:J36" headerRowCount="1">
  <x:autoFilter ref="A5:J36"/>
  <x:tableColumns count="10">
    <x:tableColumn id="1" name="Día"/>
    <x:tableColumn id="2" name="Agua"/>
    <x:tableColumn id="3" name="Sueño"/>
    <x:tableColumn id="4" name="Ejercicio"/>
    <x:tableColumn id="5" name="Lectura"/>
    <x:tableColumn id="6" name="Gastos"/>
    <x:tableColumn id="7" name="Ahorro"/>
    <x:tableColumn id="8" name="Afirmación"/>
    <x:tableColumn id="9" name="Ánimo"/>
    <x:tableColumn id="10" name="Nota"/>
  </x:tableColumns>
  <x:tableStyleInfo name="TableStyleMedium2" showRowStripes="1"/>
</x:table>
</file>

<file path=xl/tables/table6.xml><?xml version="1.0" encoding="utf-8"?>
<x:table xmlns:x="http://schemas.openxmlformats.org/spreadsheetml/2006/main" id="6" name="tblIdeas" displayName="tblIdeas" ref="A5:E25" headerRowCount="1">
  <x:autoFilter ref="A5:E25"/>
  <x:tableColumns count="5">
    <x:tableColumn id="1" name="Categoría"/>
    <x:tableColumn id="2" name="Idea"/>
    <x:tableColumn id="3" name="Dificultad"/>
    <x:tableColumn id="4" name="Meta"/>
    <x:tableColumn id="5" name="Benefic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d7962f0b4f44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0e099d32bbe47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461df7a37654693" /><Relationship Type="http://schemas.openxmlformats.org/officeDocument/2006/relationships/table" Target="/xl/tables/table3.xml" Id="R6a3335c41d4a40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bee9bc38b8734ff9" /><Relationship Type="http://schemas.openxmlformats.org/officeDocument/2006/relationships/table" Target="/xl/tables/table4.xml" Id="Ra230303d9e134f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bd831df748da4a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196e30df44e4d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55bba15046247bc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15" hidden="0" customWidth="1"/>
    <col min="2" max="2" width="15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  <col min="7" max="7" width="15" hidden="0" customWidth="1"/>
    <col min="8" max="8" width="15" hidden="0" customWidth="1"/>
    <col min="9" max="9" width="15" hidden="0" customWidth="1"/>
    <col min="10" max="10" width="15" hidden="0" customWidth="1"/>
    <col min="11" max="11" width="15" hidden="0" customWidth="1"/>
    <col min="12" max="12" width="15" hidden="0" customWidth="1"/>
    <col min="13" max="13" width="15" hidden="0" customWidth="1"/>
    <col min="14" max="14" width="15" hidden="0" customWidth="1"/>
    <col min="15" max="15" width="4.5" hidden="0" customWidth="1"/>
    <col min="16" max="16" width="4.5" hidden="0" customWidth="1"/>
    <col min="17" max="17" width="4.5" hidden="0" customWidth="1"/>
    <col min="18" max="18" width="4.5" hidden="0" customWidth="1"/>
    <col min="19" max="19" width="4.5" hidden="0" customWidth="1"/>
    <col min="20" max="20" width="4.5" hidden="0" customWidth="1"/>
    <col min="21" max="21" width="4.5" hidden="0" customWidth="1"/>
    <col min="22" max="22" width="4.5" hidden="0" customWidth="1"/>
    <col min="23" max="23" width="4.5" hidden="0" customWidth="1"/>
    <col min="24" max="24" width="4.5" hidden="0" customWidth="1"/>
    <col min="25" max="25" width="4.5" hidden="0" customWidth="1"/>
    <col min="26" max="26" width="4.5" hidden="0" customWidth="1"/>
    <col min="27" max="27" width="4.5" hidden="0" customWidth="1"/>
    <col min="28" max="28" width="4.5" hidden="0" customWidth="1"/>
    <col min="29" max="29" width="4.5" hidden="0" customWidth="1"/>
    <col min="30" max="30" width="4.5" hidden="0" customWidth="1"/>
    <col min="31" max="31" width="4.5" hidden="0" customWidth="1"/>
    <col min="32" max="32" width="4.5" hidden="0" customWidth="1"/>
  </cols>
  <sheetData>
    <row r="1" ht="15" hidden="0" customHeight="1">
      <c r="A1" s="182" t="str">
        <v>Habit Tracker Premium</v>
      </c>
      <c r="B1" s="182" t="str">
        <v>Habit Tracker Premium</v>
      </c>
      <c r="C1" s="182" t="str">
        <v>Habit Tracker Premium</v>
      </c>
      <c r="D1" s="182" t="str">
        <v>Habit Tracker Premium</v>
      </c>
      <c r="E1" s="182" t="str">
        <v>Habit Tracker Premium</v>
      </c>
      <c r="F1" s="182" t="str">
        <v>Habit Tracker Premium</v>
      </c>
      <c r="G1" s="182" t="str">
        <v>Habit Tracker Premium</v>
      </c>
      <c r="H1" s="182" t="str">
        <v>Habit Tracker Premium</v>
      </c>
      <c r="I1" s="182" t="str">
        <v>Habit Tracker Premium</v>
      </c>
      <c r="J1" s="182" t="str">
        <v>Habit Tracker Premium</v>
      </c>
      <c r="K1" s="182" t="str">
        <v>Habit Tracker Premium</v>
      </c>
      <c r="L1" s="182" t="str">
        <v>Habit Tracker Premium</v>
      </c>
      <c r="M1" s="182" t="str">
        <v>Habit Tracker Premium</v>
      </c>
      <c r="N1" s="182" t="str">
        <v>Habit Tracker Premium</v>
      </c>
      <c r="O1" s="182" t="str">
        <v>Habit Tracker Premium</v>
      </c>
      <c r="P1" s="182" t="str">
        <v>Habit Tracker Premium</v>
      </c>
      <c r="Q1" s="182" t="str">
        <v>Habit Tracker Premium</v>
      </c>
      <c r="R1" s="182" t="str">
        <v>Habit Tracker Premium</v>
      </c>
      <c r="S1" s="182" t="str">
        <v>Habit Tracker Premium</v>
      </c>
      <c r="T1" s="182" t="str">
        <v>Habit Tracker Premium</v>
      </c>
      <c r="U1" s="182" t="str">
        <v>Habit Tracker Premium</v>
      </c>
      <c r="V1" s="182" t="str">
        <v>Habit Tracker Premium</v>
      </c>
      <c r="W1" s="182" t="str">
        <v>Habit Tracker Premium</v>
      </c>
      <c r="X1" s="182" t="str">
        <v>Habit Tracker Premium</v>
      </c>
      <c r="Y1" s="182" t="str">
        <v>Habit Tracker Premium</v>
      </c>
      <c r="Z1" s="182" t="str">
        <v>Habit Tracker Premium</v>
      </c>
      <c r="AA1" s="182" t="str">
        <v>Habit Tracker Premium</v>
      </c>
      <c r="AB1" s="182" t="str">
        <v>Habit Tracker Premium</v>
      </c>
      <c r="AC1" s="182" t="str">
        <v>Habit Tracker Premium</v>
      </c>
      <c r="AD1" s="182" t="str">
        <v>Habit Tracker Premium</v>
      </c>
      <c r="AE1" s="182" t="str">
        <v>Habit Tracker Premium</v>
      </c>
      <c r="AF1" s="182" t="str">
        <v>Habit Tracker Premium</v>
      </c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3"/>
      <c r="AY1" s="183"/>
      <c r="AZ1" s="183"/>
    </row>
    <row r="2" ht="15" hidden="0" customHeight="1">
      <c r="A2" s="182" t="str">
        <v>Habit Tracker Premium</v>
      </c>
      <c r="B2" s="182" t="str">
        <v>Habit Tracker Premium</v>
      </c>
      <c r="C2" s="182" t="str">
        <v>Habit Tracker Premium</v>
      </c>
      <c r="D2" s="182" t="str">
        <v>Habit Tracker Premium</v>
      </c>
      <c r="E2" s="182" t="str">
        <v>Habit Tracker Premium</v>
      </c>
      <c r="F2" s="182" t="str">
        <v>Habit Tracker Premium</v>
      </c>
      <c r="G2" s="182" t="str">
        <v>Habit Tracker Premium</v>
      </c>
      <c r="H2" s="182" t="str">
        <v>Habit Tracker Premium</v>
      </c>
      <c r="I2" s="182" t="str">
        <v>Habit Tracker Premium</v>
      </c>
      <c r="J2" s="182" t="str">
        <v>Habit Tracker Premium</v>
      </c>
      <c r="K2" s="182" t="str">
        <v>Habit Tracker Premium</v>
      </c>
      <c r="L2" s="182" t="str">
        <v>Habit Tracker Premium</v>
      </c>
      <c r="M2" s="182" t="str">
        <v>Habit Tracker Premium</v>
      </c>
      <c r="N2" s="182" t="str">
        <v>Habit Tracker Premium</v>
      </c>
      <c r="O2" s="182" t="str">
        <v>Habit Tracker Premium</v>
      </c>
      <c r="P2" s="182" t="str">
        <v>Habit Tracker Premium</v>
      </c>
      <c r="Q2" s="182" t="str">
        <v>Habit Tracker Premium</v>
      </c>
      <c r="R2" s="182" t="str">
        <v>Habit Tracker Premium</v>
      </c>
      <c r="S2" s="182" t="str">
        <v>Habit Tracker Premium</v>
      </c>
      <c r="T2" s="182" t="str">
        <v>Habit Tracker Premium</v>
      </c>
      <c r="U2" s="182" t="str">
        <v>Habit Tracker Premium</v>
      </c>
      <c r="V2" s="182" t="str">
        <v>Habit Tracker Premium</v>
      </c>
      <c r="W2" s="182" t="str">
        <v>Habit Tracker Premium</v>
      </c>
      <c r="X2" s="182" t="str">
        <v>Habit Tracker Premium</v>
      </c>
      <c r="Y2" s="182" t="str">
        <v>Habit Tracker Premium</v>
      </c>
      <c r="Z2" s="182" t="str">
        <v>Habit Tracker Premium</v>
      </c>
      <c r="AA2" s="182" t="str">
        <v>Habit Tracker Premium</v>
      </c>
      <c r="AB2" s="182" t="str">
        <v>Habit Tracker Premium</v>
      </c>
      <c r="AC2" s="182" t="str">
        <v>Habit Tracker Premium</v>
      </c>
      <c r="AD2" s="182" t="str">
        <v>Habit Tracker Premium</v>
      </c>
      <c r="AE2" s="182" t="str">
        <v>Habit Tracker Premium</v>
      </c>
      <c r="AF2" s="182" t="str">
        <v>Habit Tracker Premium</v>
      </c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</row>
    <row r="3" ht="15" hidden="0" customHeight="1">
      <c r="A3" s="184" t="str">
        <v>Control mensual de hábitos y progreso personal</v>
      </c>
      <c r="B3" s="184" t="str">
        <v>Control mensual de hábitos y progreso personal</v>
      </c>
      <c r="C3" s="184" t="str">
        <v>Control mensual de hábitos y progreso personal</v>
      </c>
      <c r="D3" s="184" t="str">
        <v>Control mensual de hábitos y progreso personal</v>
      </c>
      <c r="E3" s="184" t="str">
        <v>Control mensual de hábitos y progreso personal</v>
      </c>
      <c r="F3" s="184" t="str">
        <v>Control mensual de hábitos y progreso personal</v>
      </c>
      <c r="G3" s="184" t="str">
        <v>Control mensual de hábitos y progreso personal</v>
      </c>
      <c r="H3" s="184" t="str">
        <v>Control mensual de hábitos y progreso personal</v>
      </c>
      <c r="I3" s="184" t="str">
        <v>Control mensual de hábitos y progreso personal</v>
      </c>
      <c r="J3" s="184" t="str">
        <v>Control mensual de hábitos y progreso personal</v>
      </c>
      <c r="K3" s="184" t="str">
        <v>Control mensual de hábitos y progreso personal</v>
      </c>
      <c r="L3" s="184" t="str">
        <v>Control mensual de hábitos y progreso personal</v>
      </c>
      <c r="M3" s="184" t="str">
        <v>Control mensual de hábitos y progreso personal</v>
      </c>
      <c r="N3" s="184" t="str">
        <v>Control mensual de hábitos y progreso personal</v>
      </c>
      <c r="O3" s="184" t="str">
        <v>Control mensual de hábitos y progreso personal</v>
      </c>
      <c r="P3" s="184" t="str">
        <v>Control mensual de hábitos y progreso personal</v>
      </c>
      <c r="Q3" s="184" t="str">
        <v>Control mensual de hábitos y progreso personal</v>
      </c>
      <c r="R3" s="184" t="str">
        <v>Control mensual de hábitos y progreso personal</v>
      </c>
      <c r="S3" s="184" t="str">
        <v>Control mensual de hábitos y progreso personal</v>
      </c>
      <c r="T3" s="184" t="str">
        <v>Control mensual de hábitos y progreso personal</v>
      </c>
      <c r="U3" s="184" t="str">
        <v>Control mensual de hábitos y progreso personal</v>
      </c>
      <c r="V3" s="184" t="str">
        <v>Control mensual de hábitos y progreso personal</v>
      </c>
      <c r="W3" s="184" t="str">
        <v>Control mensual de hábitos y progreso personal</v>
      </c>
      <c r="X3" s="184" t="str">
        <v>Control mensual de hábitos y progreso personal</v>
      </c>
      <c r="Y3" s="184" t="str">
        <v>Control mensual de hábitos y progreso personal</v>
      </c>
      <c r="Z3" s="184" t="str">
        <v>Control mensual de hábitos y progreso personal</v>
      </c>
      <c r="AA3" s="184" t="str">
        <v>Control mensual de hábitos y progreso personal</v>
      </c>
      <c r="AB3" s="184" t="str">
        <v>Control mensual de hábitos y progreso personal</v>
      </c>
      <c r="AC3" s="184" t="str">
        <v>Control mensual de hábitos y progreso personal</v>
      </c>
      <c r="AD3" s="184" t="str">
        <v>Control mensual de hábitos y progreso personal</v>
      </c>
      <c r="AE3" s="184" t="str">
        <v>Control mensual de hábitos y progreso personal</v>
      </c>
      <c r="AF3" s="184" t="str">
        <v>Control mensual de hábitos y progreso personal</v>
      </c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</row>
    <row r="4" ht="15" hidden="0" customHeight="1">
      <c r="A4" s="183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</row>
    <row r="5" ht="24" hidden="0" customHeight="1">
      <c r="A5" s="185" t="str">
        <v>Cumplimiento mensual</v>
      </c>
      <c r="B5" s="186" t="str"/>
      <c r="C5" s="185" t="str">
        <v>Racha actual</v>
      </c>
      <c r="D5" s="186" t="str"/>
      <c r="E5" s="185" t="str">
        <v>Mejor racha</v>
      </c>
      <c r="F5" s="186" t="str"/>
      <c r="G5" s="185" t="str">
        <v>Hábitos completados</v>
      </c>
      <c r="H5" s="186" t="str"/>
      <c r="I5" s="185" t="str">
        <v>Promedio semanal</v>
      </c>
      <c r="J5" s="186" t="str"/>
      <c r="K5" s="185" t="str">
        <v>Nivel</v>
      </c>
      <c r="L5" s="186" t="str"/>
      <c r="M5" s="185" t="str">
        <v>Semáforo</v>
      </c>
      <c r="N5" s="186" t="str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</row>
    <row r="6" ht="18" hidden="0" customHeight="1">
      <c r="A6" s="187" t="n">
        <f>IFERROR(AVERAGE('Data'!H3:H12),0)</f>
        <v>0.9453968531468533</v>
      </c>
      <c r="B6" s="188"/>
      <c r="C6" s="189" t="n">
        <f>MAX('Data'!I3:I12)</f>
        <v>3</v>
      </c>
      <c r="D6" s="188"/>
      <c r="E6" s="189" t="n">
        <f>MAX('Data'!J3:J12)</f>
        <v>31</v>
      </c>
      <c r="F6" s="188"/>
      <c r="G6" s="189" t="n">
        <f>SUM('Data'!E3:E12)</f>
        <v>192</v>
      </c>
      <c r="H6" s="188"/>
      <c r="I6" s="187" t="n">
        <f>IFERROR(AVERAGE('Vista Semanal'!B6:B10),0)</f>
        <v>0.6961904761904762</v>
      </c>
      <c r="J6" s="188"/>
      <c r="K6" s="189" t="str">
        <f>IF(A6&lt;0.41,"Principiante",IF(A6&lt;0.71,"Constante",IF(A6&lt;0.91,"Disciplinado","Imparable")))</f>
        <v>Imparable</v>
      </c>
      <c r="L6" s="188"/>
      <c r="M6" s="189" t="str">
        <f>IF(A6&lt;0.41,"Rojo",IF(A6&lt;0.71,"Amarillo","Verde"))</f>
        <v>Verde</v>
      </c>
      <c r="N6" s="188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</row>
    <row r="7" ht="15" hidden="0" customHeight="1">
      <c r="A7" s="190"/>
      <c r="B7" s="191"/>
      <c r="C7" s="190"/>
      <c r="D7" s="191"/>
      <c r="E7" s="190"/>
      <c r="F7" s="191"/>
      <c r="G7" s="190"/>
      <c r="H7" s="191"/>
      <c r="I7" s="190"/>
      <c r="J7" s="191"/>
      <c r="K7" s="190"/>
      <c r="L7" s="191"/>
      <c r="M7" s="190"/>
      <c r="N7" s="191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</row>
    <row r="8" ht="15" hidden="0" customHeight="1">
      <c r="A8" s="183"/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</row>
    <row r="9" ht="15" hidden="0" customHeight="1">
      <c r="A9" s="192" t="str">
        <f>IF(A6&lt;=0.4,"No te rindas, vuelve a intentarlo mañana.",IF(A6&lt;=0.7,"Vas avanzando, sigue construyendo constancia.",IF(A6&lt;=0.9,"Excelente progreso, mantén el ritmo.","Mes extraordinario, gran disciplina.")))</f>
        <v>Mes extraordinario, gran disciplina.</v>
      </c>
      <c r="B9" s="193" t="str"/>
      <c r="C9" s="193" t="str"/>
      <c r="D9" s="193" t="str"/>
      <c r="E9" s="193" t="str"/>
      <c r="F9" s="193" t="str"/>
      <c r="G9" s="193" t="str"/>
      <c r="H9" s="193" t="str"/>
      <c r="I9" s="193" t="str"/>
      <c r="J9" s="193" t="str"/>
      <c r="K9" s="193" t="str"/>
      <c r="L9" s="193" t="str"/>
      <c r="M9" s="193" t="str"/>
      <c r="N9" s="193" t="str"/>
      <c r="O9" s="193" t="str"/>
      <c r="P9" s="193" t="str"/>
      <c r="Q9" s="193" t="str"/>
      <c r="R9" s="193" t="str"/>
      <c r="S9" s="193" t="str"/>
      <c r="T9" s="193" t="str"/>
      <c r="U9" s="193" t="str"/>
      <c r="V9" s="193" t="str"/>
      <c r="W9" s="193" t="str"/>
      <c r="X9" s="193" t="str"/>
      <c r="Y9" s="193" t="str"/>
      <c r="Z9" s="193" t="str"/>
      <c r="AA9" s="193" t="str"/>
      <c r="AB9" s="193" t="str"/>
      <c r="AC9" s="193" t="str"/>
      <c r="AD9" s="193" t="str"/>
      <c r="AE9" s="193" t="str"/>
      <c r="AF9" s="194" t="str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</row>
    <row r="10" ht="15" hidden="0" customHeight="1">
      <c r="A10" s="195" t="str"/>
      <c r="B10" s="196" t="str"/>
      <c r="C10" s="196" t="str"/>
      <c r="D10" s="196" t="str"/>
      <c r="E10" s="196" t="str"/>
      <c r="F10" s="196" t="str"/>
      <c r="G10" s="196" t="str"/>
      <c r="H10" s="196" t="str"/>
      <c r="I10" s="196" t="str"/>
      <c r="J10" s="196" t="str"/>
      <c r="K10" s="196" t="str"/>
      <c r="L10" s="196" t="str"/>
      <c r="M10" s="196" t="str"/>
      <c r="N10" s="196" t="str"/>
      <c r="O10" s="196" t="str"/>
      <c r="P10" s="196" t="str"/>
      <c r="Q10" s="196" t="str"/>
      <c r="R10" s="196" t="str"/>
      <c r="S10" s="196" t="str"/>
      <c r="T10" s="196" t="str"/>
      <c r="U10" s="196" t="str"/>
      <c r="V10" s="196" t="str"/>
      <c r="W10" s="196" t="str"/>
      <c r="X10" s="196" t="str"/>
      <c r="Y10" s="196" t="str"/>
      <c r="Z10" s="196" t="str"/>
      <c r="AA10" s="196" t="str"/>
      <c r="AB10" s="196" t="str"/>
      <c r="AC10" s="196" t="str"/>
      <c r="AD10" s="196" t="str"/>
      <c r="AE10" s="196" t="str"/>
      <c r="AF10" s="197" t="str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3"/>
    </row>
    <row r="11" ht="15" hidden="0" customHeight="1">
      <c r="A11" s="183"/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  <c r="AY11" s="183"/>
      <c r="AZ11" s="183"/>
    </row>
    <row r="12" ht="15" hidden="0" customHeight="1">
      <c r="A12" s="198" t="str">
        <v>Rank</v>
      </c>
      <c r="B12" s="199" t="str">
        <v>Top hábitos</v>
      </c>
      <c r="C12" s="200" t="str">
        <v>%</v>
      </c>
      <c r="D12" s="183"/>
      <c r="E12" s="201" t="str">
        <v>Rank</v>
      </c>
      <c r="F12" s="202" t="str">
        <v>Por mejorar</v>
      </c>
      <c r="G12" s="203" t="str">
        <v>%</v>
      </c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/>
      <c r="AZ12" s="183"/>
    </row>
    <row r="13" ht="15" hidden="0" customHeight="1">
      <c r="A13" s="204" t="n">
        <v>1</v>
      </c>
      <c r="B13" s="205" t="str">
        <f>'Data'!U3</f>
        <v>Caminar 30 min</v>
      </c>
      <c r="C13" s="206" t="n">
        <f>'Data'!V3</f>
        <v>1</v>
      </c>
      <c r="D13" s="183"/>
      <c r="E13" s="204" t="n">
        <v>1</v>
      </c>
      <c r="F13" s="205" t="str">
        <f>'Data'!Y3</f>
        <v>Planificar el día</v>
      </c>
      <c r="G13" s="206" t="n">
        <f>'Data'!Z3</f>
        <v>0.8269230769230769</v>
      </c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</row>
    <row r="14" ht="15" hidden="0" customHeight="1">
      <c r="A14" s="207" t="n">
        <v>2</v>
      </c>
      <c r="B14" s="208" t="str">
        <f>'Data'!U4</f>
        <v>Caminar 30 min</v>
      </c>
      <c r="C14" s="209" t="n">
        <f>'Data'!V4</f>
        <v>1</v>
      </c>
      <c r="D14" s="183"/>
      <c r="E14" s="207" t="n">
        <v>2</v>
      </c>
      <c r="F14" s="208" t="str">
        <f>'Data'!Y4</f>
        <v>Agua 8 vasos</v>
      </c>
      <c r="G14" s="209" t="n">
        <f>'Data'!Z4</f>
        <v>0.86</v>
      </c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</row>
    <row r="15" ht="15" hidden="0" customHeight="1">
      <c r="A15" s="207" t="n">
        <v>3</v>
      </c>
      <c r="B15" s="208" t="str">
        <f>'Data'!U5</f>
        <v>Caminar 30 min</v>
      </c>
      <c r="C15" s="209" t="n">
        <f>'Data'!V5</f>
        <v>1</v>
      </c>
      <c r="D15" s="183"/>
      <c r="E15" s="207" t="n">
        <v>3</v>
      </c>
      <c r="F15" s="208" t="str">
        <f>'Data'!Y5</f>
        <v>Dormir 7+ horas</v>
      </c>
      <c r="G15" s="209" t="n">
        <f>'Data'!Z5</f>
        <v>0.8958333333333334</v>
      </c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3"/>
      <c r="AX15" s="183"/>
      <c r="AY15" s="183"/>
      <c r="AZ15" s="183"/>
    </row>
    <row r="16" ht="15" hidden="0" customHeight="1">
      <c r="A16" s="207" t="n">
        <v>4</v>
      </c>
      <c r="B16" s="208" t="str">
        <f>'Data'!U6</f>
        <v>Caminar 30 min</v>
      </c>
      <c r="C16" s="209" t="n">
        <f>'Data'!V6</f>
        <v>1</v>
      </c>
      <c r="D16" s="183"/>
      <c r="E16" s="207" t="n">
        <v>4</v>
      </c>
      <c r="F16" s="208" t="str">
        <f>'Data'!Y6</f>
        <v>Comida saludable</v>
      </c>
      <c r="G16" s="209" t="n">
        <f>'Data'!Z6</f>
        <v>0.9166666666666666</v>
      </c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</row>
    <row r="17" ht="15" hidden="0" customHeight="1">
      <c r="A17" s="210" t="n">
        <v>5</v>
      </c>
      <c r="B17" s="211" t="str">
        <f>'Data'!U7</f>
        <v>Caminar 30 min</v>
      </c>
      <c r="C17" s="212" t="n">
        <f>'Data'!V7</f>
        <v>1</v>
      </c>
      <c r="D17" s="183"/>
      <c r="E17" s="210" t="n">
        <v>5</v>
      </c>
      <c r="F17" s="211" t="str">
        <f>'Data'!Y7</f>
        <v>Leer 10 páginas</v>
      </c>
      <c r="G17" s="212" t="n">
        <f>'Data'!Z7</f>
        <v>0.9545454545454546</v>
      </c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</row>
    <row r="18" ht="15" hidden="0" customHeight="1">
      <c r="A18" s="183"/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</row>
    <row r="19" ht="15" hidden="0" customHeight="1">
      <c r="A19" s="183"/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</row>
    <row r="20" ht="15" hidden="0" customHeight="1">
      <c r="A20" s="213" t="str">
        <v>Monthly Heatmap / Mapa mensual</v>
      </c>
      <c r="B20" s="214" t="str">
        <v>Monthly Heatmap / Mapa mensual</v>
      </c>
      <c r="C20" s="214" t="str">
        <v>Monthly Heatmap / Mapa mensual</v>
      </c>
      <c r="D20" s="214" t="str">
        <v>Monthly Heatmap / Mapa mensual</v>
      </c>
      <c r="E20" s="214" t="str">
        <v>Monthly Heatmap / Mapa mensual</v>
      </c>
      <c r="F20" s="214" t="str">
        <v>Monthly Heatmap / Mapa mensual</v>
      </c>
      <c r="G20" s="214" t="str">
        <v>Monthly Heatmap / Mapa mensual</v>
      </c>
      <c r="H20" s="214" t="str">
        <v>Monthly Heatmap / Mapa mensual</v>
      </c>
      <c r="I20" s="214" t="str">
        <v>Monthly Heatmap / Mapa mensual</v>
      </c>
      <c r="J20" s="214" t="str">
        <v>Monthly Heatmap / Mapa mensual</v>
      </c>
      <c r="K20" s="214" t="str">
        <v>Monthly Heatmap / Mapa mensual</v>
      </c>
      <c r="L20" s="214" t="str">
        <v>Monthly Heatmap / Mapa mensual</v>
      </c>
      <c r="M20" s="214" t="str">
        <v>Monthly Heatmap / Mapa mensual</v>
      </c>
      <c r="N20" s="214" t="str">
        <v>Monthly Heatmap / Mapa mensual</v>
      </c>
      <c r="O20" s="214" t="str">
        <v>Monthly Heatmap / Mapa mensual</v>
      </c>
      <c r="P20" s="214" t="str">
        <v>Monthly Heatmap / Mapa mensual</v>
      </c>
      <c r="Q20" s="214" t="str">
        <v>Monthly Heatmap / Mapa mensual</v>
      </c>
      <c r="R20" s="214" t="str">
        <v>Monthly Heatmap / Mapa mensual</v>
      </c>
      <c r="S20" s="214" t="str">
        <v>Monthly Heatmap / Mapa mensual</v>
      </c>
      <c r="T20" s="214" t="str">
        <v>Monthly Heatmap / Mapa mensual</v>
      </c>
      <c r="U20" s="214" t="str">
        <v>Monthly Heatmap / Mapa mensual</v>
      </c>
      <c r="V20" s="214" t="str">
        <v>Monthly Heatmap / Mapa mensual</v>
      </c>
      <c r="W20" s="214" t="str">
        <v>Monthly Heatmap / Mapa mensual</v>
      </c>
      <c r="X20" s="214" t="str">
        <v>Monthly Heatmap / Mapa mensual</v>
      </c>
      <c r="Y20" s="214" t="str">
        <v>Monthly Heatmap / Mapa mensual</v>
      </c>
      <c r="Z20" s="214" t="str">
        <v>Monthly Heatmap / Mapa mensual</v>
      </c>
      <c r="AA20" s="214" t="str">
        <v>Monthly Heatmap / Mapa mensual</v>
      </c>
      <c r="AB20" s="214" t="str">
        <v>Monthly Heatmap / Mapa mensual</v>
      </c>
      <c r="AC20" s="214" t="str">
        <v>Monthly Heatmap / Mapa mensual</v>
      </c>
      <c r="AD20" s="214" t="str">
        <v>Monthly Heatmap / Mapa mensual</v>
      </c>
      <c r="AE20" s="214" t="str">
        <v>Monthly Heatmap / Mapa mensual</v>
      </c>
      <c r="AF20" s="215" t="str">
        <v>Monthly Heatmap / Mapa mensual</v>
      </c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183"/>
      <c r="AX20" s="183"/>
      <c r="AY20" s="183"/>
      <c r="AZ20" s="183"/>
    </row>
    <row r="21" ht="15" hidden="0" customHeight="1">
      <c r="A21" s="216" t="str">
        <v>Día</v>
      </c>
      <c r="B21" s="217" t="n">
        <v>1</v>
      </c>
      <c r="C21" s="217" t="n">
        <v>2</v>
      </c>
      <c r="D21" s="217" t="n">
        <v>3</v>
      </c>
      <c r="E21" s="217" t="n">
        <v>4</v>
      </c>
      <c r="F21" s="217" t="n">
        <v>5</v>
      </c>
      <c r="G21" s="217" t="n">
        <v>6</v>
      </c>
      <c r="H21" s="217" t="n">
        <v>7</v>
      </c>
      <c r="I21" s="217" t="n">
        <v>8</v>
      </c>
      <c r="J21" s="217" t="n">
        <v>9</v>
      </c>
      <c r="K21" s="217" t="n">
        <v>10</v>
      </c>
      <c r="L21" s="217" t="n">
        <v>11</v>
      </c>
      <c r="M21" s="217" t="n">
        <v>12</v>
      </c>
      <c r="N21" s="217" t="n">
        <v>13</v>
      </c>
      <c r="O21" s="217" t="n">
        <v>14</v>
      </c>
      <c r="P21" s="217" t="n">
        <v>15</v>
      </c>
      <c r="Q21" s="217" t="n">
        <v>16</v>
      </c>
      <c r="R21" s="217" t="n">
        <v>17</v>
      </c>
      <c r="S21" s="217" t="n">
        <v>18</v>
      </c>
      <c r="T21" s="217" t="n">
        <v>19</v>
      </c>
      <c r="U21" s="217" t="n">
        <v>20</v>
      </c>
      <c r="V21" s="217" t="n">
        <v>21</v>
      </c>
      <c r="W21" s="217" t="n">
        <v>22</v>
      </c>
      <c r="X21" s="217" t="n">
        <v>23</v>
      </c>
      <c r="Y21" s="217" t="n">
        <v>24</v>
      </c>
      <c r="Z21" s="217" t="n">
        <v>25</v>
      </c>
      <c r="AA21" s="217" t="n">
        <v>26</v>
      </c>
      <c r="AB21" s="217" t="n">
        <v>27</v>
      </c>
      <c r="AC21" s="217" t="n">
        <v>28</v>
      </c>
      <c r="AD21" s="217" t="n">
        <v>29</v>
      </c>
      <c r="AE21" s="217" t="n">
        <v>30</v>
      </c>
      <c r="AF21" s="218" t="n">
        <v>31</v>
      </c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</row>
    <row r="22" ht="15" hidden="0" customHeight="1">
      <c r="A22" s="219" t="str">
        <v>%</v>
      </c>
      <c r="B22" s="220" t="n">
        <f>'Data'!C49</f>
        <v>0.65</v>
      </c>
      <c r="C22" s="220" t="n">
        <f>'Data'!C50</f>
        <v>0.7</v>
      </c>
      <c r="D22" s="220" t="n">
        <f>'Data'!C51</f>
        <v>0.7</v>
      </c>
      <c r="E22" s="220" t="n">
        <f>'Data'!C52</f>
        <v>0.8</v>
      </c>
      <c r="F22" s="220" t="n">
        <f>'Data'!C53</f>
        <v>0.65</v>
      </c>
      <c r="G22" s="220" t="n">
        <f>'Data'!C54</f>
        <v>0.7</v>
      </c>
      <c r="H22" s="220" t="n">
        <f>'Data'!C55</f>
        <v>0.65</v>
      </c>
      <c r="I22" s="220" t="n">
        <f>'Data'!C56</f>
        <v>0.8</v>
      </c>
      <c r="J22" s="220" t="n">
        <f>'Data'!C57</f>
        <v>0.6</v>
      </c>
      <c r="K22" s="220" t="n">
        <f>'Data'!C58</f>
        <v>0.7</v>
      </c>
      <c r="L22" s="220" t="n">
        <f>'Data'!C59</f>
        <v>0.6</v>
      </c>
      <c r="M22" s="220" t="n">
        <f>'Data'!C60</f>
        <v>0.75</v>
      </c>
      <c r="N22" s="220" t="n">
        <f>'Data'!C61</f>
        <v>0.7</v>
      </c>
      <c r="O22" s="220" t="n">
        <f>'Data'!C62</f>
        <v>0.65</v>
      </c>
      <c r="P22" s="220" t="n">
        <f>'Data'!C63</f>
        <v>0.7</v>
      </c>
      <c r="Q22" s="220" t="n">
        <f>'Data'!C64</f>
        <v>0.7</v>
      </c>
      <c r="R22" s="220" t="n">
        <f>'Data'!C65</f>
        <v>0.8</v>
      </c>
      <c r="S22" s="220" t="n">
        <f>'Data'!C66</f>
        <v>0.65</v>
      </c>
      <c r="T22" s="220" t="n">
        <f>'Data'!C67</f>
        <v>0.7</v>
      </c>
      <c r="U22" s="220" t="n">
        <f>'Data'!C68</f>
        <v>0.65</v>
      </c>
      <c r="V22" s="220" t="n">
        <f>'Data'!C69</f>
        <v>0.8</v>
      </c>
      <c r="W22" s="220" t="n">
        <f>'Data'!C70</f>
        <v>0.6</v>
      </c>
      <c r="X22" s="220" t="n">
        <f>'Data'!C71</f>
        <v>0.7</v>
      </c>
      <c r="Y22" s="220" t="n">
        <f>'Data'!C72</f>
        <v>0.6</v>
      </c>
      <c r="Z22" s="220" t="n">
        <f>'Data'!C73</f>
        <v>0.75</v>
      </c>
      <c r="AA22" s="220" t="n">
        <f>'Data'!C74</f>
        <v>0.7</v>
      </c>
      <c r="AB22" s="220" t="n">
        <f>'Data'!C75</f>
        <v>0.65</v>
      </c>
      <c r="AC22" s="220" t="n">
        <f>'Data'!C76</f>
        <v>0.7</v>
      </c>
      <c r="AD22" s="220" t="n">
        <f>'Data'!C77</f>
        <v>0.7</v>
      </c>
      <c r="AE22" s="220" t="n">
        <f>'Data'!C78</f>
        <v>0.8</v>
      </c>
      <c r="AF22" s="221" t="n">
        <f>'Data'!C79</f>
        <v>0.65</v>
      </c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  <c r="AS22" s="183"/>
      <c r="AT22" s="183"/>
      <c r="AU22" s="183"/>
      <c r="AV22" s="183"/>
      <c r="AW22" s="183"/>
      <c r="AX22" s="183"/>
      <c r="AY22" s="183"/>
      <c r="AZ22" s="183"/>
    </row>
    <row r="23" ht="15" hidden="0" customHeight="1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83"/>
    </row>
    <row r="24" ht="15" hidden="0" customHeight="1">
      <c r="A24" s="183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  <c r="AS24" s="183"/>
      <c r="AT24" s="183"/>
      <c r="AU24" s="183"/>
      <c r="AV24" s="183"/>
      <c r="AW24" s="183"/>
      <c r="AX24" s="183"/>
      <c r="AY24" s="183"/>
      <c r="AZ24" s="183"/>
    </row>
    <row r="25" ht="15" hidden="0" customHeight="1">
      <c r="A25" s="183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</row>
    <row r="26" ht="15" hidden="0" customHeight="1">
      <c r="A26" s="183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  <c r="AS26" s="183"/>
      <c r="AT26" s="183"/>
      <c r="AU26" s="183"/>
      <c r="AV26" s="183"/>
      <c r="AW26" s="183"/>
      <c r="AX26" s="183"/>
      <c r="AY26" s="183"/>
      <c r="AZ26" s="183"/>
    </row>
    <row r="27" ht="15" hidden="0" customHeight="1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3"/>
      <c r="AX27" s="183"/>
      <c r="AY27" s="183"/>
      <c r="AZ27" s="183"/>
    </row>
    <row r="28" ht="15" hidden="0" customHeight="1">
      <c r="A28" s="183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183"/>
      <c r="AR28" s="183"/>
      <c r="AS28" s="183"/>
      <c r="AT28" s="183"/>
      <c r="AU28" s="183"/>
      <c r="AV28" s="183"/>
      <c r="AW28" s="183"/>
      <c r="AX28" s="183"/>
      <c r="AY28" s="183"/>
      <c r="AZ28" s="183"/>
    </row>
    <row r="29" ht="15" hidden="0" customHeight="1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3"/>
      <c r="AX29" s="183"/>
      <c r="AY29" s="183"/>
      <c r="AZ29" s="183"/>
    </row>
    <row r="30" ht="15" hidden="0" customHeight="1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  <c r="AU30" s="183"/>
      <c r="AV30" s="183"/>
      <c r="AW30" s="183"/>
      <c r="AX30" s="183"/>
      <c r="AY30" s="183"/>
      <c r="AZ30" s="183"/>
    </row>
    <row r="31" ht="15" hidden="0" customHeight="1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3"/>
      <c r="AX31" s="183"/>
      <c r="AY31" s="183"/>
      <c r="AZ31" s="183"/>
    </row>
    <row r="32" ht="15" hidden="0" customHeight="1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  <c r="AU32" s="183"/>
      <c r="AV32" s="183"/>
      <c r="AW32" s="183"/>
      <c r="AX32" s="183"/>
      <c r="AY32" s="183"/>
      <c r="AZ32" s="183"/>
    </row>
    <row r="33" ht="15" hidden="0" customHeight="1">
      <c r="A33" s="183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3"/>
      <c r="AX33" s="183"/>
      <c r="AY33" s="183"/>
      <c r="AZ33" s="183"/>
    </row>
    <row r="34" ht="15" hidden="0" customHeight="1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3"/>
    </row>
    <row r="35" ht="15" hidden="0" customHeight="1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</row>
    <row r="36" ht="15" hidden="0" customHeight="1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83"/>
      <c r="AY36" s="183"/>
      <c r="AZ36" s="183"/>
    </row>
    <row r="37" ht="15" hidden="0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3"/>
      <c r="AX37" s="183"/>
      <c r="AY37" s="183"/>
      <c r="AZ37" s="183"/>
    </row>
    <row r="38" ht="15" hidden="0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3"/>
      <c r="AQ38" s="183"/>
      <c r="AR38" s="183"/>
      <c r="AS38" s="183"/>
      <c r="AT38" s="183"/>
      <c r="AU38" s="183"/>
      <c r="AV38" s="183"/>
      <c r="AW38" s="183"/>
      <c r="AX38" s="183"/>
      <c r="AY38" s="183"/>
      <c r="AZ38" s="183"/>
    </row>
    <row r="39" ht="15" hidden="0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</row>
    <row r="40" ht="15" hidden="0" customHeight="1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  <c r="AO40" s="183"/>
      <c r="AP40" s="183"/>
      <c r="AQ40" s="183"/>
      <c r="AR40" s="183"/>
      <c r="AS40" s="183"/>
      <c r="AT40" s="183"/>
      <c r="AU40" s="183"/>
      <c r="AV40" s="183"/>
      <c r="AW40" s="183"/>
      <c r="AX40" s="183"/>
      <c r="AY40" s="183"/>
      <c r="AZ40" s="183"/>
    </row>
    <row r="41" ht="15" hidden="0" customHeight="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</row>
    <row r="42" ht="15" hidden="0" customHeight="1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</row>
    <row r="43" ht="15" hidden="0" customHeight="1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</row>
    <row r="44" ht="15" hidden="0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</row>
    <row r="45" ht="15" hidden="0" customHeight="1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</row>
    <row r="46" ht="15" hidden="0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</row>
    <row r="47" ht="15" hidden="0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3"/>
      <c r="AX47" s="183"/>
      <c r="AY47" s="183"/>
      <c r="AZ47" s="183"/>
    </row>
    <row r="48" ht="15" hidden="0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  <c r="AS48" s="183"/>
      <c r="AT48" s="183"/>
      <c r="AU48" s="183"/>
      <c r="AV48" s="183"/>
      <c r="AW48" s="183"/>
      <c r="AX48" s="183"/>
      <c r="AY48" s="183"/>
      <c r="AZ48" s="183"/>
    </row>
    <row r="49" ht="15" hidden="0" customHeight="1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  <c r="AY49" s="183"/>
      <c r="AZ49" s="183"/>
    </row>
    <row r="50" ht="15" hidden="0" customHeight="1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</row>
    <row r="51" ht="15" hidden="0" customHeight="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</row>
    <row r="52" ht="15" hidden="0" customHeight="1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</row>
    <row r="53" ht="15" hidden="0" customHeight="1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</row>
    <row r="54" ht="15" hidden="0" customHeight="1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</row>
    <row r="55" ht="15" hidden="0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</row>
    <row r="56" ht="15" hidden="0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</row>
    <row r="57" ht="15" hidden="0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</row>
    <row r="58" ht="15" hidden="0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</row>
    <row r="59" ht="15" hidden="0" customHeight="1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</row>
    <row r="60" ht="15" hidden="0" customHeight="1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</row>
    <row r="61" ht="15" hidden="0" customHeight="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</row>
    <row r="62" ht="15" hidden="0" customHeight="1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</row>
    <row r="63" ht="15" hidden="0" customHeight="1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</row>
    <row r="64" ht="15" hidden="0" customHeight="1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</row>
    <row r="65" ht="15" hidden="0" customHeight="1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</row>
    <row r="66" ht="15" hidden="0" customHeight="1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</row>
    <row r="67" ht="15" hidden="0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</row>
    <row r="68" ht="15" hidden="0" customHeight="1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</row>
    <row r="69" ht="15" hidden="0" customHeight="1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</row>
    <row r="70" ht="15" hidden="0" customHeight="1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</row>
    <row r="71" ht="15" hidden="0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</row>
    <row r="72" ht="15" hidden="0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</row>
    <row r="73" ht="15" hidden="0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</row>
    <row r="74" ht="15" hidden="0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</row>
    <row r="75" ht="15" hidden="0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</row>
    <row r="76" ht="15" hidden="0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</row>
    <row r="77" ht="15" hidden="0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</row>
    <row r="78" ht="15" hidden="0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</row>
    <row r="79" ht="15" hidden="0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</row>
    <row r="80" ht="15" hidden="0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</row>
    <row r="81" ht="15" hidden="0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</row>
    <row r="82" ht="15" hidden="0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</row>
    <row r="83" ht="15" hidden="0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</row>
    <row r="84" ht="15" hidden="0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</row>
    <row r="85" ht="15" hidden="0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</row>
    <row r="86" ht="15" hidden="0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3"/>
      <c r="AO86" s="183"/>
      <c r="AP86" s="183"/>
      <c r="AQ86" s="183"/>
      <c r="AR86" s="183"/>
      <c r="AS86" s="183"/>
      <c r="AT86" s="183"/>
      <c r="AU86" s="183"/>
      <c r="AV86" s="183"/>
      <c r="AW86" s="183"/>
      <c r="AX86" s="183"/>
      <c r="AY86" s="183"/>
      <c r="AZ86" s="183"/>
    </row>
    <row r="87" ht="15" hidden="0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Q87" s="183"/>
      <c r="AR87" s="183"/>
      <c r="AS87" s="183"/>
      <c r="AT87" s="183"/>
      <c r="AU87" s="183"/>
      <c r="AV87" s="183"/>
      <c r="AW87" s="183"/>
      <c r="AX87" s="183"/>
      <c r="AY87" s="183"/>
      <c r="AZ87" s="183"/>
    </row>
    <row r="88" ht="15" hidden="0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  <c r="AS88" s="183"/>
      <c r="AT88" s="183"/>
      <c r="AU88" s="183"/>
      <c r="AV88" s="183"/>
      <c r="AW88" s="183"/>
      <c r="AX88" s="183"/>
      <c r="AY88" s="183"/>
      <c r="AZ88" s="183"/>
    </row>
    <row r="89" ht="15" hidden="0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  <c r="AS89" s="183"/>
      <c r="AT89" s="183"/>
      <c r="AU89" s="183"/>
      <c r="AV89" s="183"/>
      <c r="AW89" s="183"/>
      <c r="AX89" s="183"/>
      <c r="AY89" s="183"/>
      <c r="AZ89" s="183"/>
    </row>
    <row r="90" ht="15" hidden="0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  <c r="AP90" s="183"/>
      <c r="AQ90" s="183"/>
      <c r="AR90" s="183"/>
      <c r="AS90" s="183"/>
      <c r="AT90" s="183"/>
      <c r="AU90" s="183"/>
      <c r="AV90" s="183"/>
      <c r="AW90" s="183"/>
      <c r="AX90" s="183"/>
      <c r="AY90" s="183"/>
      <c r="AZ90" s="183"/>
    </row>
  </sheetData>
  <sheetProtection sheet="1" objects="1" scenarios="1"/>
  <mergeCells>
    <mergeCell ref="A1:AF2"/>
    <mergeCell ref="A3:AF3"/>
    <mergeCell ref="A9:AF10"/>
    <mergeCell ref="A20:AF20"/>
  </mergeCells>
  <conditionalFormatting sqref="B22:AF22">
    <cfRule type="colorScale" priority="1">
      <colorScale>
        <cfvo type="min"/>
        <cfvo type="percentile" val="50"/>
        <cfvo type="max"/>
        <color rgb="FFEED9D3"/>
        <color rgb="FFF3E4BC"/>
        <color rgb="FFDDE8D8"/>
      </colorScale>
    </cfRule>
  </conditionalFormatting>
  <pageMargins left="0.7" right="0.7" top="0.75" bottom="0.75" header="0.3" footer="0.3"/>
  <drawing r:id="R7bd7962f0b4f449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  <col min="6" max="6" width="24" hidden="0" customWidth="1"/>
  </cols>
  <sheetData>
    <row r="1" ht="15" hidden="0" customHeight="1">
      <c r="A1" s="182" t="str">
        <v>Start Here / Guía rápida</v>
      </c>
      <c r="B1" s="182" t="str">
        <v>Start Here / Guía rápida</v>
      </c>
      <c r="C1" s="182" t="str">
        <v>Start Here / Guía rápida</v>
      </c>
      <c r="D1" s="182" t="str">
        <v>Start Here / Guía rápida</v>
      </c>
      <c r="E1" s="182" t="str">
        <v>Start Here / Guía rápida</v>
      </c>
      <c r="F1" s="182" t="str">
        <v>Start Here / Guía rápida</v>
      </c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3"/>
      <c r="AY1" s="183"/>
      <c r="AZ1" s="183"/>
    </row>
    <row r="2" ht="15" hidden="0" customHeight="1">
      <c r="A2" s="182" t="str">
        <v>Start Here / Guía rápida</v>
      </c>
      <c r="B2" s="182" t="str">
        <v>Start Here / Guía rápida</v>
      </c>
      <c r="C2" s="182" t="str">
        <v>Start Here / Guía rápida</v>
      </c>
      <c r="D2" s="182" t="str">
        <v>Start Here / Guía rápida</v>
      </c>
      <c r="E2" s="182" t="str">
        <v>Start Here / Guía rápida</v>
      </c>
      <c r="F2" s="182" t="str">
        <v>Start Here / Guía rápida</v>
      </c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</row>
    <row r="3" ht="15" hidden="0" customHeight="1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</row>
    <row r="4" ht="15" hidden="0" customHeight="1">
      <c r="A4" s="183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</row>
    <row r="5" ht="15" hidden="0" customHeight="1">
      <c r="A5" s="216" t="str">
        <v>Paso</v>
      </c>
      <c r="B5" s="217" t="str">
        <v>Qué hacer</v>
      </c>
      <c r="C5" s="217" t="str">
        <v>Hoja</v>
      </c>
      <c r="D5" s="217" t="str">
        <v>Celdas</v>
      </c>
      <c r="E5" s="217" t="str">
        <v>Tiempo</v>
      </c>
      <c r="F5" s="218" t="str">
        <v>Resultado</v>
      </c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</row>
    <row r="6" ht="15" hidden="0" customHeight="1">
      <c r="A6" s="204" t="str">
        <v>1</v>
      </c>
      <c r="B6" s="205" t="str">
        <v>Ajusta tus hábitos</v>
      </c>
      <c r="C6" s="205" t="str">
        <v>Configuracion</v>
      </c>
      <c r="D6" s="205" t="str">
        <v>Celdas claras</v>
      </c>
      <c r="E6" s="205" t="str">
        <v>10 min</v>
      </c>
      <c r="F6" s="222" t="str">
        <v>Lista personalizada</v>
      </c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</row>
    <row r="7" ht="15" hidden="0" customHeight="1">
      <c r="A7" s="207" t="str">
        <v>2</v>
      </c>
      <c r="B7" s="208" t="str">
        <v>Marca cada día</v>
      </c>
      <c r="C7" s="208" t="str">
        <v>Registro Diario</v>
      </c>
      <c r="D7" s="208" t="str">
        <v>Sí / No / Parcial</v>
      </c>
      <c r="E7" s="208" t="str">
        <v>2 min</v>
      </c>
      <c r="F7" s="223" t="str">
        <v>Progreso automático</v>
      </c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</row>
    <row r="8" ht="15" hidden="0" customHeight="1">
      <c r="A8" s="207" t="str">
        <v>3</v>
      </c>
      <c r="B8" s="208" t="str">
        <v>Revisa el dashboard</v>
      </c>
      <c r="C8" s="208" t="str">
        <v>Dashboard</v>
      </c>
      <c r="D8" s="208" t="str">
        <v>Solo lectura</v>
      </c>
      <c r="E8" s="208" t="str">
        <v>1 min</v>
      </c>
      <c r="F8" s="223" t="str">
        <v>Decisiones rápidas</v>
      </c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</row>
    <row r="9" ht="15" hidden="0" customHeight="1">
      <c r="A9" s="207" t="str">
        <v>4</v>
      </c>
      <c r="B9" s="208" t="str">
        <v>Cierra tu semana</v>
      </c>
      <c r="C9" s="208" t="str">
        <v>Vista Semanal</v>
      </c>
      <c r="D9" s="208" t="str">
        <v>Reflexiones</v>
      </c>
      <c r="E9" s="208" t="str">
        <v>5 min</v>
      </c>
      <c r="F9" s="223" t="str">
        <v>Mejora continua</v>
      </c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</row>
    <row r="10" ht="15" hidden="0" customHeight="1">
      <c r="A10" s="207" t="str">
        <v>5</v>
      </c>
      <c r="B10" s="208" t="str">
        <v>Duplica para otro mes</v>
      </c>
      <c r="C10" s="208" t="str">
        <v>Archivo</v>
      </c>
      <c r="D10" s="208" t="str">
        <v>Guardar como</v>
      </c>
      <c r="E10" s="208" t="str">
        <v>1 min</v>
      </c>
      <c r="F10" s="223" t="str">
        <v>Nuevo ciclo</v>
      </c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3"/>
    </row>
    <row r="11" ht="24" hidden="0" customHeight="1">
      <c r="A11" s="207" t="str">
        <v>Tip</v>
      </c>
      <c r="B11" s="208" t="str">
        <v>Usa el archivo diariamente, no busques perfección.</v>
      </c>
      <c r="C11" s="208" t="str">
        <v>Dashboard</v>
      </c>
      <c r="D11" s="208" t="str">
        <v>KPI + mensaje</v>
      </c>
      <c r="E11" s="208" t="str">
        <v>Constante</v>
      </c>
      <c r="F11" s="223" t="str">
        <v>Disciplina</v>
      </c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  <c r="AY11" s="183"/>
      <c r="AZ11" s="183"/>
    </row>
    <row r="12" ht="24" hidden="0" customHeight="1">
      <c r="A12" s="210" t="str">
        <v>Nota</v>
      </c>
      <c r="B12" s="211" t="str">
        <v>Las celdas de fórmulas están separadas de las celdas editables.</v>
      </c>
      <c r="C12" s="211" t="str">
        <v>Data</v>
      </c>
      <c r="D12" s="211" t="str">
        <v>Oculta</v>
      </c>
      <c r="E12" s="211" t="str">
        <v>Automático</v>
      </c>
      <c r="F12" s="224" t="str">
        <v>Menos errores</v>
      </c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/>
      <c r="AZ12" s="183"/>
    </row>
    <row r="13" ht="15" hidden="0" customHeight="1">
      <c r="A13" s="183"/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</row>
    <row r="14" ht="15" hidden="0" customHeight="1">
      <c r="A14" s="183"/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</row>
    <row r="15" ht="15" hidden="0" customHeight="1">
      <c r="A15" s="183"/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3"/>
      <c r="AX15" s="183"/>
      <c r="AY15" s="183"/>
      <c r="AZ15" s="183"/>
    </row>
    <row r="16" ht="15" hidden="0" customHeight="1">
      <c r="A16" s="183"/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</row>
    <row r="17" ht="15" hidden="0" customHeight="1">
      <c r="A17" s="183"/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</row>
    <row r="18" ht="15" hidden="0" customHeight="1">
      <c r="A18" s="183"/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</row>
    <row r="19" ht="15" hidden="0" customHeight="1">
      <c r="A19" s="183"/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</row>
    <row r="20" ht="15" hidden="0" customHeight="1">
      <c r="A20" s="183"/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183"/>
      <c r="AX20" s="183"/>
      <c r="AY20" s="183"/>
      <c r="AZ20" s="183"/>
    </row>
    <row r="21" ht="15" hidden="0" customHeight="1">
      <c r="A21" s="183"/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</row>
    <row r="22" ht="15" hidden="0" customHeight="1">
      <c r="A22" s="183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  <c r="AS22" s="183"/>
      <c r="AT22" s="183"/>
      <c r="AU22" s="183"/>
      <c r="AV22" s="183"/>
      <c r="AW22" s="183"/>
      <c r="AX22" s="183"/>
      <c r="AY22" s="183"/>
      <c r="AZ22" s="183"/>
    </row>
    <row r="23" ht="15" hidden="0" customHeight="1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83"/>
    </row>
    <row r="24" ht="15" hidden="0" customHeight="1">
      <c r="A24" s="183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  <c r="AS24" s="183"/>
      <c r="AT24" s="183"/>
      <c r="AU24" s="183"/>
      <c r="AV24" s="183"/>
      <c r="AW24" s="183"/>
      <c r="AX24" s="183"/>
      <c r="AY24" s="183"/>
      <c r="AZ24" s="183"/>
    </row>
    <row r="25" ht="15" hidden="0" customHeight="1">
      <c r="A25" s="183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</row>
    <row r="26" ht="15" hidden="0" customHeight="1">
      <c r="A26" s="183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  <c r="AS26" s="183"/>
      <c r="AT26" s="183"/>
      <c r="AU26" s="183"/>
      <c r="AV26" s="183"/>
      <c r="AW26" s="183"/>
      <c r="AX26" s="183"/>
      <c r="AY26" s="183"/>
      <c r="AZ26" s="183"/>
    </row>
    <row r="27" ht="15" hidden="0" customHeight="1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3"/>
      <c r="AX27" s="183"/>
      <c r="AY27" s="183"/>
      <c r="AZ27" s="183"/>
    </row>
    <row r="28" ht="15" hidden="0" customHeight="1">
      <c r="A28" s="183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183"/>
      <c r="AR28" s="183"/>
      <c r="AS28" s="183"/>
      <c r="AT28" s="183"/>
      <c r="AU28" s="183"/>
      <c r="AV28" s="183"/>
      <c r="AW28" s="183"/>
      <c r="AX28" s="183"/>
      <c r="AY28" s="183"/>
      <c r="AZ28" s="183"/>
    </row>
    <row r="29" ht="15" hidden="0" customHeight="1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3"/>
      <c r="AX29" s="183"/>
      <c r="AY29" s="183"/>
      <c r="AZ29" s="183"/>
    </row>
    <row r="30" ht="15" hidden="0" customHeight="1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  <c r="AU30" s="183"/>
      <c r="AV30" s="183"/>
      <c r="AW30" s="183"/>
      <c r="AX30" s="183"/>
      <c r="AY30" s="183"/>
      <c r="AZ30" s="183"/>
    </row>
    <row r="31" ht="15" hidden="0" customHeight="1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3"/>
      <c r="AX31" s="183"/>
      <c r="AY31" s="183"/>
      <c r="AZ31" s="183"/>
    </row>
    <row r="32" ht="15" hidden="0" customHeight="1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  <c r="AU32" s="183"/>
      <c r="AV32" s="183"/>
      <c r="AW32" s="183"/>
      <c r="AX32" s="183"/>
      <c r="AY32" s="183"/>
      <c r="AZ32" s="183"/>
    </row>
    <row r="33" ht="15" hidden="0" customHeight="1">
      <c r="A33" s="183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3"/>
      <c r="AX33" s="183"/>
      <c r="AY33" s="183"/>
      <c r="AZ33" s="183"/>
    </row>
    <row r="34" ht="15" hidden="0" customHeight="1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3"/>
    </row>
    <row r="35" ht="15" hidden="0" customHeight="1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</row>
    <row r="36" ht="15" hidden="0" customHeight="1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83"/>
      <c r="AY36" s="183"/>
      <c r="AZ36" s="183"/>
    </row>
    <row r="37" ht="15" hidden="0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3"/>
      <c r="AX37" s="183"/>
      <c r="AY37" s="183"/>
      <c r="AZ37" s="183"/>
    </row>
    <row r="38" ht="15" hidden="0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3"/>
      <c r="AQ38" s="183"/>
      <c r="AR38" s="183"/>
      <c r="AS38" s="183"/>
      <c r="AT38" s="183"/>
      <c r="AU38" s="183"/>
      <c r="AV38" s="183"/>
      <c r="AW38" s="183"/>
      <c r="AX38" s="183"/>
      <c r="AY38" s="183"/>
      <c r="AZ38" s="183"/>
    </row>
    <row r="39" ht="15" hidden="0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</row>
    <row r="40" ht="15" hidden="0" customHeight="1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  <c r="AO40" s="183"/>
      <c r="AP40" s="183"/>
      <c r="AQ40" s="183"/>
      <c r="AR40" s="183"/>
      <c r="AS40" s="183"/>
      <c r="AT40" s="183"/>
      <c r="AU40" s="183"/>
      <c r="AV40" s="183"/>
      <c r="AW40" s="183"/>
      <c r="AX40" s="183"/>
      <c r="AY40" s="183"/>
      <c r="AZ40" s="183"/>
    </row>
    <row r="41" ht="15" hidden="0" customHeight="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</row>
    <row r="42" ht="15" hidden="0" customHeight="1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</row>
    <row r="43" ht="15" hidden="0" customHeight="1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</row>
    <row r="44" ht="15" hidden="0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</row>
    <row r="45" ht="15" hidden="0" customHeight="1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</row>
    <row r="46" ht="15" hidden="0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</row>
    <row r="47" ht="15" hidden="0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3"/>
      <c r="AX47" s="183"/>
      <c r="AY47" s="183"/>
      <c r="AZ47" s="183"/>
    </row>
    <row r="48" ht="15" hidden="0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  <c r="AS48" s="183"/>
      <c r="AT48" s="183"/>
      <c r="AU48" s="183"/>
      <c r="AV48" s="183"/>
      <c r="AW48" s="183"/>
      <c r="AX48" s="183"/>
      <c r="AY48" s="183"/>
      <c r="AZ48" s="183"/>
    </row>
    <row r="49" ht="15" hidden="0" customHeight="1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  <c r="AY49" s="183"/>
      <c r="AZ49" s="183"/>
    </row>
    <row r="50" ht="15" hidden="0" customHeight="1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</row>
    <row r="51" ht="15" hidden="0" customHeight="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</row>
    <row r="52" ht="15" hidden="0" customHeight="1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</row>
    <row r="53" ht="15" hidden="0" customHeight="1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</row>
    <row r="54" ht="15" hidden="0" customHeight="1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</row>
    <row r="55" ht="15" hidden="0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</row>
    <row r="56" ht="15" hidden="0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</row>
    <row r="57" ht="15" hidden="0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</row>
    <row r="58" ht="15" hidden="0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</row>
    <row r="59" ht="15" hidden="0" customHeight="1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</row>
    <row r="60" ht="15" hidden="0" customHeight="1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</row>
    <row r="61" ht="15" hidden="0" customHeight="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</row>
    <row r="62" ht="15" hidden="0" customHeight="1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</row>
    <row r="63" ht="15" hidden="0" customHeight="1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</row>
    <row r="64" ht="15" hidden="0" customHeight="1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</row>
    <row r="65" ht="15" hidden="0" customHeight="1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</row>
    <row r="66" ht="15" hidden="0" customHeight="1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</row>
    <row r="67" ht="15" hidden="0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</row>
    <row r="68" ht="15" hidden="0" customHeight="1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</row>
    <row r="69" ht="15" hidden="0" customHeight="1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</row>
    <row r="70" ht="15" hidden="0" customHeight="1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</row>
    <row r="71" ht="15" hidden="0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</row>
    <row r="72" ht="15" hidden="0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</row>
    <row r="73" ht="15" hidden="0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</row>
    <row r="74" ht="15" hidden="0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</row>
    <row r="75" ht="15" hidden="0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</row>
    <row r="76" ht="15" hidden="0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</row>
    <row r="77" ht="15" hidden="0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</row>
    <row r="78" ht="15" hidden="0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</row>
    <row r="79" ht="15" hidden="0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</row>
    <row r="80" ht="15" hidden="0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</row>
    <row r="81" ht="15" hidden="0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</row>
    <row r="82" ht="15" hidden="0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</row>
    <row r="83" ht="15" hidden="0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</row>
    <row r="84" ht="15" hidden="0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</row>
    <row r="85" ht="15" hidden="0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</row>
    <row r="86" ht="15" hidden="0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3"/>
      <c r="AO86" s="183"/>
      <c r="AP86" s="183"/>
      <c r="AQ86" s="183"/>
      <c r="AR86" s="183"/>
      <c r="AS86" s="183"/>
      <c r="AT86" s="183"/>
      <c r="AU86" s="183"/>
      <c r="AV86" s="183"/>
      <c r="AW86" s="183"/>
      <c r="AX86" s="183"/>
      <c r="AY86" s="183"/>
      <c r="AZ86" s="183"/>
    </row>
    <row r="87" ht="15" hidden="0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Q87" s="183"/>
      <c r="AR87" s="183"/>
      <c r="AS87" s="183"/>
      <c r="AT87" s="183"/>
      <c r="AU87" s="183"/>
      <c r="AV87" s="183"/>
      <c r="AW87" s="183"/>
      <c r="AX87" s="183"/>
      <c r="AY87" s="183"/>
      <c r="AZ87" s="183"/>
    </row>
    <row r="88" ht="15" hidden="0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  <c r="AS88" s="183"/>
      <c r="AT88" s="183"/>
      <c r="AU88" s="183"/>
      <c r="AV88" s="183"/>
      <c r="AW88" s="183"/>
      <c r="AX88" s="183"/>
      <c r="AY88" s="183"/>
      <c r="AZ88" s="183"/>
    </row>
    <row r="89" ht="15" hidden="0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  <c r="AS89" s="183"/>
      <c r="AT89" s="183"/>
      <c r="AU89" s="183"/>
      <c r="AV89" s="183"/>
      <c r="AW89" s="183"/>
      <c r="AX89" s="183"/>
      <c r="AY89" s="183"/>
      <c r="AZ89" s="183"/>
    </row>
    <row r="90" ht="15" hidden="0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  <c r="AP90" s="183"/>
      <c r="AQ90" s="183"/>
      <c r="AR90" s="183"/>
      <c r="AS90" s="183"/>
      <c r="AT90" s="183"/>
      <c r="AU90" s="183"/>
      <c r="AV90" s="183"/>
      <c r="AW90" s="183"/>
      <c r="AX90" s="183"/>
      <c r="AY90" s="183"/>
      <c r="AZ90" s="183"/>
    </row>
  </sheetData>
  <sheetProtection sheet="1" objects="1" scenarios="1"/>
  <mergeCells>
    <mergeCell ref="A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7" hidden="0" customWidth="1"/>
    <col min="2" max="2" width="24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3" hidden="0" customWidth="1"/>
    <col min="10" max="10" width="13" hidden="0" customWidth="1"/>
    <col min="11" max="11" width="13" hidden="0" customWidth="1"/>
    <col min="12" max="12" width="13" hidden="0" customWidth="1"/>
    <col min="13" max="13" width="13" hidden="0" customWidth="1"/>
    <col min="14" max="14" width="13" hidden="0" customWidth="1"/>
  </cols>
  <sheetData>
    <row r="1" ht="15" hidden="0" customHeight="1">
      <c r="A1" s="182" t="str">
        <v>Habit Setup / Configuración</v>
      </c>
      <c r="B1" s="182" t="str">
        <v>Habit Setup / Configuración</v>
      </c>
      <c r="C1" s="182" t="str">
        <v>Habit Setup / Configuración</v>
      </c>
      <c r="D1" s="182" t="str">
        <v>Habit Setup / Configuración</v>
      </c>
      <c r="E1" s="182" t="str">
        <v>Habit Setup / Configuración</v>
      </c>
      <c r="F1" s="182" t="str">
        <v>Habit Setup / Configuración</v>
      </c>
      <c r="G1" s="182" t="str">
        <v>Habit Setup / Configuración</v>
      </c>
      <c r="H1" s="182" t="str">
        <v>Habit Setup / Configuración</v>
      </c>
      <c r="I1" s="182" t="str">
        <v>Habit Setup / Configuración</v>
      </c>
      <c r="J1" s="182" t="str">
        <v>Habit Setup / Configuración</v>
      </c>
      <c r="K1" s="182" t="str">
        <v>Habit Setup / Configuración</v>
      </c>
      <c r="L1" s="182" t="str">
        <v>Habit Setup / Configuración</v>
      </c>
      <c r="M1" s="182" t="str">
        <v>Habit Setup / Configuración</v>
      </c>
      <c r="N1" s="182" t="str">
        <v>Habit Setup / Configuración</v>
      </c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3"/>
      <c r="AY1" s="183"/>
      <c r="AZ1" s="183"/>
    </row>
    <row r="2" ht="15" hidden="0" customHeight="1">
      <c r="A2" s="182" t="str">
        <v>Habit Setup / Configuración</v>
      </c>
      <c r="B2" s="182" t="str">
        <v>Habit Setup / Configuración</v>
      </c>
      <c r="C2" s="182" t="str">
        <v>Habit Setup / Configuración</v>
      </c>
      <c r="D2" s="182" t="str">
        <v>Habit Setup / Configuración</v>
      </c>
      <c r="E2" s="182" t="str">
        <v>Habit Setup / Configuración</v>
      </c>
      <c r="F2" s="182" t="str">
        <v>Habit Setup / Configuración</v>
      </c>
      <c r="G2" s="182" t="str">
        <v>Habit Setup / Configuración</v>
      </c>
      <c r="H2" s="182" t="str">
        <v>Habit Setup / Configuración</v>
      </c>
      <c r="I2" s="182" t="str">
        <v>Habit Setup / Configuración</v>
      </c>
      <c r="J2" s="182" t="str">
        <v>Habit Setup / Configuración</v>
      </c>
      <c r="K2" s="182" t="str">
        <v>Habit Setup / Configuración</v>
      </c>
      <c r="L2" s="182" t="str">
        <v>Habit Setup / Configuración</v>
      </c>
      <c r="M2" s="182" t="str">
        <v>Habit Setup / Configuración</v>
      </c>
      <c r="N2" s="182" t="str">
        <v>Habit Setup / Configuración</v>
      </c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</row>
    <row r="3" ht="15" hidden="0" customHeight="1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</row>
    <row r="4" ht="15" hidden="0" customHeight="1">
      <c r="A4" s="216" t="str">
        <v>ID</v>
      </c>
      <c r="B4" s="217" t="str">
        <v>Hábito</v>
      </c>
      <c r="C4" s="217" t="str">
        <v>Categoría</v>
      </c>
      <c r="D4" s="217" t="str">
        <v>Frecuencia</v>
      </c>
      <c r="E4" s="217" t="str">
        <v>Meta mensual</v>
      </c>
      <c r="F4" s="217" t="str">
        <v>Prioridad</v>
      </c>
      <c r="G4" s="217" t="str">
        <v>Activo</v>
      </c>
      <c r="H4" s="217" t="str">
        <v>Entrada</v>
      </c>
      <c r="I4" s="217" t="str">
        <v>% Cumpl.</v>
      </c>
      <c r="J4" s="217" t="str">
        <v>Sí</v>
      </c>
      <c r="K4" s="217" t="str">
        <v>Parcial</v>
      </c>
      <c r="L4" s="217" t="str">
        <v>No</v>
      </c>
      <c r="M4" s="217" t="str">
        <v>Racha</v>
      </c>
      <c r="N4" s="218" t="str">
        <v>Mejor</v>
      </c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</row>
    <row r="5" ht="15" hidden="0" customHeight="1">
      <c r="A5" s="204" t="str">
        <v>H01</v>
      </c>
      <c r="B5" s="490" t="str">
        <v>Agua 8 vasos</v>
      </c>
      <c r="C5" s="491" t="str">
        <v>Salud</v>
      </c>
      <c r="D5" s="491" t="str">
        <v>Diaria</v>
      </c>
      <c r="E5" s="491" t="n">
        <v>25</v>
      </c>
      <c r="F5" s="491" t="str">
        <v>Alta</v>
      </c>
      <c r="G5" s="491" t="str">
        <v>Sí</v>
      </c>
      <c r="H5" s="227" t="str">
        <v>Editable</v>
      </c>
      <c r="I5" s="228" t="n">
        <f>'Data'!H3</f>
        <v>0.86</v>
      </c>
      <c r="J5" s="229" t="n">
        <f>'Data'!E3</f>
        <v>19</v>
      </c>
      <c r="K5" s="229" t="n">
        <f>'Data'!F3</f>
        <v>5</v>
      </c>
      <c r="L5" s="229" t="n">
        <f>'Data'!G3</f>
        <v>7</v>
      </c>
      <c r="M5" s="229" t="n">
        <f>'Data'!I3</f>
        <v>0</v>
      </c>
      <c r="N5" s="230" t="n">
        <f>'Data'!J3</f>
        <v>24</v>
      </c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</row>
    <row r="6" ht="15" hidden="0" customHeight="1">
      <c r="A6" s="207" t="str">
        <v>H02</v>
      </c>
      <c r="B6" s="496" t="str">
        <v>Caminar 30 min</v>
      </c>
      <c r="C6" s="473" t="str">
        <v>Ejercicio</v>
      </c>
      <c r="D6" s="473" t="str">
        <v>5 veces/semana</v>
      </c>
      <c r="E6" s="473" t="n">
        <v>20</v>
      </c>
      <c r="F6" s="473" t="str">
        <v>Alta</v>
      </c>
      <c r="G6" s="473" t="str">
        <v>Sí</v>
      </c>
      <c r="H6" s="232" t="str">
        <v>Editable</v>
      </c>
      <c r="I6" s="233" t="n">
        <f>'Data'!H4</f>
        <v>1</v>
      </c>
      <c r="J6" s="234" t="n">
        <f>'Data'!E4</f>
        <v>20</v>
      </c>
      <c r="K6" s="234" t="n">
        <f>'Data'!F4</f>
        <v>4</v>
      </c>
      <c r="L6" s="234" t="n">
        <f>'Data'!G4</f>
        <v>7</v>
      </c>
      <c r="M6" s="234" t="n">
        <f>'Data'!I4</f>
        <v>2</v>
      </c>
      <c r="N6" s="235" t="n">
        <f>'Data'!J4</f>
        <v>25</v>
      </c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</row>
    <row r="7" ht="15" hidden="0" customHeight="1">
      <c r="A7" s="207" t="str">
        <v>H03</v>
      </c>
      <c r="B7" s="496" t="str">
        <v>Leer 10 páginas</v>
      </c>
      <c r="C7" s="473" t="str">
        <v>Lectura</v>
      </c>
      <c r="D7" s="473" t="str">
        <v>Diaria</v>
      </c>
      <c r="E7" s="473" t="n">
        <v>22</v>
      </c>
      <c r="F7" s="473" t="str">
        <v>Media</v>
      </c>
      <c r="G7" s="473" t="str">
        <v>Sí</v>
      </c>
      <c r="H7" s="232" t="str">
        <v>Editable</v>
      </c>
      <c r="I7" s="233" t="n">
        <f>'Data'!H5</f>
        <v>0.9545454545454546</v>
      </c>
      <c r="J7" s="234" t="n">
        <f>'Data'!E5</f>
        <v>19</v>
      </c>
      <c r="K7" s="234" t="n">
        <f>'Data'!F5</f>
        <v>4</v>
      </c>
      <c r="L7" s="234" t="n">
        <f>'Data'!G5</f>
        <v>8</v>
      </c>
      <c r="M7" s="234" t="n">
        <f>'Data'!I5</f>
        <v>0</v>
      </c>
      <c r="N7" s="235" t="n">
        <f>'Data'!J5</f>
        <v>26</v>
      </c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</row>
    <row r="8" ht="15" hidden="0" customHeight="1">
      <c r="A8" s="207" t="str">
        <v>H04</v>
      </c>
      <c r="B8" s="496" t="str">
        <v>Dormir 7+ horas</v>
      </c>
      <c r="C8" s="473" t="str">
        <v>Descanso</v>
      </c>
      <c r="D8" s="473" t="str">
        <v>Diaria</v>
      </c>
      <c r="E8" s="473" t="n">
        <v>24</v>
      </c>
      <c r="F8" s="473" t="str">
        <v>Alta</v>
      </c>
      <c r="G8" s="473" t="str">
        <v>Sí</v>
      </c>
      <c r="H8" s="232" t="str">
        <v>Editable</v>
      </c>
      <c r="I8" s="233" t="n">
        <f>'Data'!H6</f>
        <v>0.8958333333333334</v>
      </c>
      <c r="J8" s="234" t="n">
        <f>'Data'!E6</f>
        <v>19</v>
      </c>
      <c r="K8" s="234" t="n">
        <f>'Data'!F6</f>
        <v>5</v>
      </c>
      <c r="L8" s="234" t="n">
        <f>'Data'!G6</f>
        <v>7</v>
      </c>
      <c r="M8" s="234" t="n">
        <f>'Data'!I6</f>
        <v>2</v>
      </c>
      <c r="N8" s="235" t="n">
        <f>'Data'!J6</f>
        <v>27</v>
      </c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</row>
    <row r="9" ht="15" hidden="0" customHeight="1">
      <c r="A9" s="207" t="str">
        <v>H05</v>
      </c>
      <c r="B9" s="496" t="str">
        <v>Estudiar 45 min</v>
      </c>
      <c r="C9" s="473" t="str">
        <v>Estudio</v>
      </c>
      <c r="D9" s="473" t="str">
        <v>5 veces/semana</v>
      </c>
      <c r="E9" s="473" t="n">
        <v>20</v>
      </c>
      <c r="F9" s="473" t="str">
        <v>Alta</v>
      </c>
      <c r="G9" s="473" t="str">
        <v>Sí</v>
      </c>
      <c r="H9" s="232" t="str">
        <v>Editable</v>
      </c>
      <c r="I9" s="233" t="n">
        <f>'Data'!H7</f>
        <v>1</v>
      </c>
      <c r="J9" s="234" t="n">
        <f>'Data'!E7</f>
        <v>18</v>
      </c>
      <c r="K9" s="234" t="n">
        <f>'Data'!F7</f>
        <v>5</v>
      </c>
      <c r="L9" s="234" t="n">
        <f>'Data'!G7</f>
        <v>8</v>
      </c>
      <c r="M9" s="234" t="n">
        <f>'Data'!I7</f>
        <v>0</v>
      </c>
      <c r="N9" s="235" t="n">
        <f>'Data'!J7</f>
        <v>28</v>
      </c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</row>
    <row r="10" ht="15" hidden="0" customHeight="1">
      <c r="A10" s="207" t="str">
        <v>H06</v>
      </c>
      <c r="B10" s="496" t="str">
        <v>Planificar el día</v>
      </c>
      <c r="C10" s="473" t="str">
        <v>Productividad</v>
      </c>
      <c r="D10" s="473" t="str">
        <v>Diaria</v>
      </c>
      <c r="E10" s="473" t="n">
        <v>26</v>
      </c>
      <c r="F10" s="473" t="str">
        <v>Media</v>
      </c>
      <c r="G10" s="473" t="str">
        <v>Sí</v>
      </c>
      <c r="H10" s="232" t="str">
        <v>Editable</v>
      </c>
      <c r="I10" s="233" t="n">
        <f>'Data'!H8</f>
        <v>0.8269230769230769</v>
      </c>
      <c r="J10" s="234" t="n">
        <f>'Data'!E8</f>
        <v>19</v>
      </c>
      <c r="K10" s="234" t="n">
        <f>'Data'!F8</f>
        <v>5</v>
      </c>
      <c r="L10" s="234" t="n">
        <f>'Data'!G8</f>
        <v>7</v>
      </c>
      <c r="M10" s="234" t="n">
        <f>'Data'!I8</f>
        <v>2</v>
      </c>
      <c r="N10" s="235" t="n">
        <f>'Data'!J8</f>
        <v>29</v>
      </c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3"/>
    </row>
    <row r="11" ht="15" hidden="0" customHeight="1">
      <c r="A11" s="207" t="str">
        <v>H07</v>
      </c>
      <c r="B11" s="496" t="str">
        <v>Registrar gastos</v>
      </c>
      <c r="C11" s="473" t="str">
        <v>Finanzas</v>
      </c>
      <c r="D11" s="473" t="str">
        <v>3 veces/semana</v>
      </c>
      <c r="E11" s="473" t="n">
        <v>12</v>
      </c>
      <c r="F11" s="473" t="str">
        <v>Media</v>
      </c>
      <c r="G11" s="473" t="str">
        <v>Sí</v>
      </c>
      <c r="H11" s="232" t="str">
        <v>Editable</v>
      </c>
      <c r="I11" s="233" t="n">
        <f>'Data'!H9</f>
        <v>1</v>
      </c>
      <c r="J11" s="234" t="n">
        <f>'Data'!E9</f>
        <v>19</v>
      </c>
      <c r="K11" s="234" t="n">
        <f>'Data'!F9</f>
        <v>5</v>
      </c>
      <c r="L11" s="234" t="n">
        <f>'Data'!G9</f>
        <v>7</v>
      </c>
      <c r="M11" s="234" t="n">
        <f>'Data'!I9</f>
        <v>0</v>
      </c>
      <c r="N11" s="235" t="n">
        <f>'Data'!J9</f>
        <v>30</v>
      </c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  <c r="AY11" s="183"/>
      <c r="AZ11" s="183"/>
    </row>
    <row r="12" ht="15" hidden="0" customHeight="1">
      <c r="A12" s="207" t="str">
        <v>H08</v>
      </c>
      <c r="B12" s="496" t="str">
        <v>Comida saludable</v>
      </c>
      <c r="C12" s="473" t="str">
        <v>Alimentación</v>
      </c>
      <c r="D12" s="473" t="str">
        <v>Diaria</v>
      </c>
      <c r="E12" s="473" t="n">
        <v>24</v>
      </c>
      <c r="F12" s="473" t="str">
        <v>Media</v>
      </c>
      <c r="G12" s="473" t="str">
        <v>Sí</v>
      </c>
      <c r="H12" s="232" t="str">
        <v>Editable</v>
      </c>
      <c r="I12" s="233" t="n">
        <f>'Data'!H10</f>
        <v>0.9166666666666666</v>
      </c>
      <c r="J12" s="234" t="n">
        <f>'Data'!E10</f>
        <v>20</v>
      </c>
      <c r="K12" s="234" t="n">
        <f>'Data'!F10</f>
        <v>4</v>
      </c>
      <c r="L12" s="234" t="n">
        <f>'Data'!G10</f>
        <v>7</v>
      </c>
      <c r="M12" s="234" t="n">
        <f>'Data'!I10</f>
        <v>3</v>
      </c>
      <c r="N12" s="235" t="n">
        <f>'Data'!J10</f>
        <v>31</v>
      </c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/>
      <c r="AZ12" s="183"/>
    </row>
    <row r="13" ht="15" hidden="0" customHeight="1">
      <c r="A13" s="207" t="str">
        <v>H09</v>
      </c>
      <c r="B13" s="496" t="str">
        <v>Meditar / orar</v>
      </c>
      <c r="C13" s="473" t="str">
        <v>Espiritualidad</v>
      </c>
      <c r="D13" s="473" t="str">
        <v>Diaria</v>
      </c>
      <c r="E13" s="473" t="n">
        <v>20</v>
      </c>
      <c r="F13" s="473" t="str">
        <v>Media</v>
      </c>
      <c r="G13" s="473" t="str">
        <v>Sí</v>
      </c>
      <c r="H13" s="232" t="str">
        <v>Editable</v>
      </c>
      <c r="I13" s="233" t="n">
        <f>'Data'!H11</f>
        <v>1</v>
      </c>
      <c r="J13" s="234" t="n">
        <f>'Data'!E11</f>
        <v>20</v>
      </c>
      <c r="K13" s="234" t="n">
        <f>'Data'!F11</f>
        <v>4</v>
      </c>
      <c r="L13" s="234" t="n">
        <f>'Data'!G11</f>
        <v>7</v>
      </c>
      <c r="M13" s="234" t="n">
        <f>'Data'!I11</f>
        <v>1</v>
      </c>
      <c r="N13" s="235" t="n">
        <f>'Data'!J11</f>
        <v>3</v>
      </c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</row>
    <row r="14" ht="15" hidden="0" customHeight="1">
      <c r="A14" s="207" t="str">
        <v>H10</v>
      </c>
      <c r="B14" s="496" t="str">
        <v>Ordenar escritorio</v>
      </c>
      <c r="C14" s="473" t="str">
        <v>Trabajo</v>
      </c>
      <c r="D14" s="473" t="str">
        <v>5 veces/semana</v>
      </c>
      <c r="E14" s="473" t="n">
        <v>18</v>
      </c>
      <c r="F14" s="473" t="str">
        <v>Baja</v>
      </c>
      <c r="G14" s="473" t="str">
        <v>Sí</v>
      </c>
      <c r="H14" s="232" t="str">
        <v>Editable</v>
      </c>
      <c r="I14" s="233" t="n">
        <f>'Data'!H12</f>
        <v>1</v>
      </c>
      <c r="J14" s="234" t="n">
        <f>'Data'!E12</f>
        <v>19</v>
      </c>
      <c r="K14" s="234" t="n">
        <f>'Data'!F12</f>
        <v>5</v>
      </c>
      <c r="L14" s="234" t="n">
        <f>'Data'!G12</f>
        <v>7</v>
      </c>
      <c r="M14" s="234" t="n">
        <f>'Data'!I12</f>
        <v>3</v>
      </c>
      <c r="N14" s="235" t="n">
        <f>'Data'!J12</f>
        <v>3</v>
      </c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</row>
    <row r="15" ht="15" hidden="0" customHeight="1">
      <c r="A15" s="207" t="str">
        <v>H11</v>
      </c>
      <c r="B15" s="496" t="str"/>
      <c r="C15" s="473" t="str"/>
      <c r="D15" s="473" t="str"/>
      <c r="E15" s="473" t="str"/>
      <c r="F15" s="473" t="str"/>
      <c r="G15" s="473" t="str"/>
      <c r="H15" s="232" t="str">
        <v>Editable</v>
      </c>
      <c r="I15" s="233" t="n">
        <f>'Data'!H13</f>
        <v>0</v>
      </c>
      <c r="J15" s="234" t="n">
        <f>'Data'!E13</f>
        <v>0</v>
      </c>
      <c r="K15" s="234" t="n">
        <f>'Data'!F13</f>
        <v>0</v>
      </c>
      <c r="L15" s="234" t="n">
        <f>'Data'!G13</f>
        <v>0</v>
      </c>
      <c r="M15" s="234" t="n">
        <f>'Data'!I13</f>
        <v>0</v>
      </c>
      <c r="N15" s="235" t="n">
        <f>'Data'!J13</f>
        <v>0</v>
      </c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3"/>
      <c r="AX15" s="183"/>
      <c r="AY15" s="183"/>
      <c r="AZ15" s="183"/>
    </row>
    <row r="16" ht="15" hidden="0" customHeight="1">
      <c r="A16" s="207" t="str">
        <v>H12</v>
      </c>
      <c r="B16" s="496" t="str"/>
      <c r="C16" s="473" t="str"/>
      <c r="D16" s="473" t="str"/>
      <c r="E16" s="473" t="str"/>
      <c r="F16" s="473" t="str"/>
      <c r="G16" s="473" t="str"/>
      <c r="H16" s="232" t="str">
        <v>Editable</v>
      </c>
      <c r="I16" s="233" t="n">
        <f>'Data'!H14</f>
        <v>0</v>
      </c>
      <c r="J16" s="234" t="n">
        <f>'Data'!E14</f>
        <v>0</v>
      </c>
      <c r="K16" s="234" t="n">
        <f>'Data'!F14</f>
        <v>0</v>
      </c>
      <c r="L16" s="234" t="n">
        <f>'Data'!G14</f>
        <v>0</v>
      </c>
      <c r="M16" s="234" t="n">
        <f>'Data'!I14</f>
        <v>0</v>
      </c>
      <c r="N16" s="235" t="n">
        <f>'Data'!J14</f>
        <v>0</v>
      </c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</row>
    <row r="17" ht="15" hidden="0" customHeight="1">
      <c r="A17" s="207" t="str">
        <v>H13</v>
      </c>
      <c r="B17" s="496" t="str"/>
      <c r="C17" s="473" t="str"/>
      <c r="D17" s="473" t="str"/>
      <c r="E17" s="473" t="str"/>
      <c r="F17" s="473" t="str"/>
      <c r="G17" s="473" t="str"/>
      <c r="H17" s="232" t="str">
        <v>Editable</v>
      </c>
      <c r="I17" s="233" t="n">
        <f>'Data'!H15</f>
        <v>0</v>
      </c>
      <c r="J17" s="234" t="n">
        <f>'Data'!E15</f>
        <v>0</v>
      </c>
      <c r="K17" s="234" t="n">
        <f>'Data'!F15</f>
        <v>0</v>
      </c>
      <c r="L17" s="234" t="n">
        <f>'Data'!G15</f>
        <v>0</v>
      </c>
      <c r="M17" s="234" t="n">
        <f>'Data'!I15</f>
        <v>0</v>
      </c>
      <c r="N17" s="235" t="n">
        <f>'Data'!J15</f>
        <v>0</v>
      </c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</row>
    <row r="18" ht="15" hidden="0" customHeight="1">
      <c r="A18" s="207" t="str">
        <v>H14</v>
      </c>
      <c r="B18" s="496" t="str"/>
      <c r="C18" s="473" t="str"/>
      <c r="D18" s="473" t="str"/>
      <c r="E18" s="473" t="str"/>
      <c r="F18" s="473" t="str"/>
      <c r="G18" s="473" t="str"/>
      <c r="H18" s="232" t="str">
        <v>Editable</v>
      </c>
      <c r="I18" s="233" t="n">
        <f>'Data'!H16</f>
        <v>0</v>
      </c>
      <c r="J18" s="234" t="n">
        <f>'Data'!E16</f>
        <v>0</v>
      </c>
      <c r="K18" s="234" t="n">
        <f>'Data'!F16</f>
        <v>0</v>
      </c>
      <c r="L18" s="234" t="n">
        <f>'Data'!G16</f>
        <v>0</v>
      </c>
      <c r="M18" s="234" t="n">
        <f>'Data'!I16</f>
        <v>0</v>
      </c>
      <c r="N18" s="235" t="n">
        <f>'Data'!J16</f>
        <v>0</v>
      </c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</row>
    <row r="19" ht="15" hidden="0" customHeight="1">
      <c r="A19" s="207" t="str">
        <v>H15</v>
      </c>
      <c r="B19" s="496" t="str"/>
      <c r="C19" s="473" t="str"/>
      <c r="D19" s="473" t="str"/>
      <c r="E19" s="473" t="str"/>
      <c r="F19" s="473" t="str"/>
      <c r="G19" s="473" t="str"/>
      <c r="H19" s="232" t="str">
        <v>Editable</v>
      </c>
      <c r="I19" s="233" t="n">
        <f>'Data'!H17</f>
        <v>0</v>
      </c>
      <c r="J19" s="234" t="n">
        <f>'Data'!E17</f>
        <v>0</v>
      </c>
      <c r="K19" s="234" t="n">
        <f>'Data'!F17</f>
        <v>0</v>
      </c>
      <c r="L19" s="234" t="n">
        <f>'Data'!G17</f>
        <v>0</v>
      </c>
      <c r="M19" s="234" t="n">
        <f>'Data'!I17</f>
        <v>0</v>
      </c>
      <c r="N19" s="235" t="n">
        <f>'Data'!J17</f>
        <v>0</v>
      </c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</row>
    <row r="20" ht="15" hidden="0" customHeight="1">
      <c r="A20" s="207" t="str">
        <v>H16</v>
      </c>
      <c r="B20" s="496" t="str"/>
      <c r="C20" s="473" t="str"/>
      <c r="D20" s="473" t="str"/>
      <c r="E20" s="473" t="str"/>
      <c r="F20" s="473" t="str"/>
      <c r="G20" s="473" t="str"/>
      <c r="H20" s="232" t="str">
        <v>Editable</v>
      </c>
      <c r="I20" s="233" t="n">
        <f>'Data'!H18</f>
        <v>0</v>
      </c>
      <c r="J20" s="234" t="n">
        <f>'Data'!E18</f>
        <v>0</v>
      </c>
      <c r="K20" s="234" t="n">
        <f>'Data'!F18</f>
        <v>0</v>
      </c>
      <c r="L20" s="234" t="n">
        <f>'Data'!G18</f>
        <v>0</v>
      </c>
      <c r="M20" s="234" t="n">
        <f>'Data'!I18</f>
        <v>0</v>
      </c>
      <c r="N20" s="235" t="n">
        <f>'Data'!J18</f>
        <v>0</v>
      </c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183"/>
      <c r="AX20" s="183"/>
      <c r="AY20" s="183"/>
      <c r="AZ20" s="183"/>
    </row>
    <row r="21" ht="15" hidden="0" customHeight="1">
      <c r="A21" s="207" t="str">
        <v>H17</v>
      </c>
      <c r="B21" s="496" t="str"/>
      <c r="C21" s="473" t="str"/>
      <c r="D21" s="473" t="str"/>
      <c r="E21" s="473" t="str"/>
      <c r="F21" s="473" t="str"/>
      <c r="G21" s="473" t="str"/>
      <c r="H21" s="232" t="str">
        <v>Editable</v>
      </c>
      <c r="I21" s="233" t="n">
        <f>'Data'!H19</f>
        <v>0</v>
      </c>
      <c r="J21" s="234" t="n">
        <f>'Data'!E19</f>
        <v>0</v>
      </c>
      <c r="K21" s="234" t="n">
        <f>'Data'!F19</f>
        <v>0</v>
      </c>
      <c r="L21" s="234" t="n">
        <f>'Data'!G19</f>
        <v>0</v>
      </c>
      <c r="M21" s="234" t="n">
        <f>'Data'!I19</f>
        <v>0</v>
      </c>
      <c r="N21" s="235" t="n">
        <f>'Data'!J19</f>
        <v>0</v>
      </c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</row>
    <row r="22" ht="15" hidden="0" customHeight="1">
      <c r="A22" s="207" t="str">
        <v>H18</v>
      </c>
      <c r="B22" s="496" t="str"/>
      <c r="C22" s="473" t="str"/>
      <c r="D22" s="473" t="str"/>
      <c r="E22" s="473" t="str"/>
      <c r="F22" s="473" t="str"/>
      <c r="G22" s="473" t="str"/>
      <c r="H22" s="232" t="str">
        <v>Editable</v>
      </c>
      <c r="I22" s="233" t="n">
        <f>'Data'!H20</f>
        <v>0</v>
      </c>
      <c r="J22" s="234" t="n">
        <f>'Data'!E20</f>
        <v>0</v>
      </c>
      <c r="K22" s="234" t="n">
        <f>'Data'!F20</f>
        <v>0</v>
      </c>
      <c r="L22" s="234" t="n">
        <f>'Data'!G20</f>
        <v>0</v>
      </c>
      <c r="M22" s="234" t="n">
        <f>'Data'!I20</f>
        <v>0</v>
      </c>
      <c r="N22" s="235" t="n">
        <f>'Data'!J20</f>
        <v>0</v>
      </c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  <c r="AS22" s="183"/>
      <c r="AT22" s="183"/>
      <c r="AU22" s="183"/>
      <c r="AV22" s="183"/>
      <c r="AW22" s="183"/>
      <c r="AX22" s="183"/>
      <c r="AY22" s="183"/>
      <c r="AZ22" s="183"/>
    </row>
    <row r="23" ht="15" hidden="0" customHeight="1">
      <c r="A23" s="207" t="str">
        <v>H19</v>
      </c>
      <c r="B23" s="496" t="str"/>
      <c r="C23" s="473" t="str"/>
      <c r="D23" s="473" t="str"/>
      <c r="E23" s="473" t="str"/>
      <c r="F23" s="473" t="str"/>
      <c r="G23" s="473" t="str"/>
      <c r="H23" s="232" t="str">
        <v>Editable</v>
      </c>
      <c r="I23" s="233" t="n">
        <f>'Data'!H21</f>
        <v>0</v>
      </c>
      <c r="J23" s="234" t="n">
        <f>'Data'!E21</f>
        <v>0</v>
      </c>
      <c r="K23" s="234" t="n">
        <f>'Data'!F21</f>
        <v>0</v>
      </c>
      <c r="L23" s="234" t="n">
        <f>'Data'!G21</f>
        <v>0</v>
      </c>
      <c r="M23" s="234" t="n">
        <f>'Data'!I21</f>
        <v>0</v>
      </c>
      <c r="N23" s="235" t="n">
        <f>'Data'!J21</f>
        <v>0</v>
      </c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83"/>
    </row>
    <row r="24" ht="15" hidden="0" customHeight="1">
      <c r="A24" s="210" t="str">
        <v>H20</v>
      </c>
      <c r="B24" s="501" t="str"/>
      <c r="C24" s="502" t="str"/>
      <c r="D24" s="502" t="str"/>
      <c r="E24" s="502" t="str"/>
      <c r="F24" s="502" t="str"/>
      <c r="G24" s="502" t="str"/>
      <c r="H24" s="238" t="str">
        <v>Editable</v>
      </c>
      <c r="I24" s="239" t="n">
        <f>'Data'!H22</f>
        <v>0</v>
      </c>
      <c r="J24" s="240" t="n">
        <f>'Data'!E22</f>
        <v>0</v>
      </c>
      <c r="K24" s="240" t="n">
        <f>'Data'!F22</f>
        <v>0</v>
      </c>
      <c r="L24" s="240" t="n">
        <f>'Data'!G22</f>
        <v>0</v>
      </c>
      <c r="M24" s="240" t="n">
        <f>'Data'!I22</f>
        <v>0</v>
      </c>
      <c r="N24" s="241" t="n">
        <f>'Data'!J22</f>
        <v>0</v>
      </c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  <c r="AS24" s="183"/>
      <c r="AT24" s="183"/>
      <c r="AU24" s="183"/>
      <c r="AV24" s="183"/>
      <c r="AW24" s="183"/>
      <c r="AX24" s="183"/>
      <c r="AY24" s="183"/>
      <c r="AZ24" s="183"/>
    </row>
    <row r="25" ht="15" hidden="0" customHeight="1">
      <c r="A25" s="183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</row>
    <row r="26" ht="15" hidden="0" customHeight="1">
      <c r="A26" s="183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  <c r="AS26" s="183"/>
      <c r="AT26" s="183"/>
      <c r="AU26" s="183"/>
      <c r="AV26" s="183"/>
      <c r="AW26" s="183"/>
      <c r="AX26" s="183"/>
      <c r="AY26" s="183"/>
      <c r="AZ26" s="183"/>
    </row>
    <row r="27" ht="15" hidden="0" customHeight="1">
      <c r="A27" s="213" t="str">
        <v>Leyenda: escribe en celdas claras, los resultados automáticos quedan en paneles sombreados</v>
      </c>
      <c r="B27" s="214" t="str">
        <v>Leyenda: escribe en celdas claras, los resultados automáticos quedan en paneles sombreados</v>
      </c>
      <c r="C27" s="214" t="str">
        <v>Leyenda: escribe en celdas claras, los resultados automáticos quedan en paneles sombreados</v>
      </c>
      <c r="D27" s="214" t="str">
        <v>Leyenda: escribe en celdas claras, los resultados automáticos quedan en paneles sombreados</v>
      </c>
      <c r="E27" s="214" t="str">
        <v>Leyenda: escribe en celdas claras, los resultados automáticos quedan en paneles sombreados</v>
      </c>
      <c r="F27" s="214" t="str">
        <v>Leyenda: escribe en celdas claras, los resultados automáticos quedan en paneles sombreados</v>
      </c>
      <c r="G27" s="214" t="str">
        <v>Leyenda: escribe en celdas claras, los resultados automáticos quedan en paneles sombreados</v>
      </c>
      <c r="H27" s="214" t="str">
        <v>Leyenda: escribe en celdas claras, los resultados automáticos quedan en paneles sombreados</v>
      </c>
      <c r="I27" s="214" t="str">
        <v>Leyenda: escribe en celdas claras, los resultados automáticos quedan en paneles sombreados</v>
      </c>
      <c r="J27" s="214" t="str">
        <v>Leyenda: escribe en celdas claras, los resultados automáticos quedan en paneles sombreados</v>
      </c>
      <c r="K27" s="214" t="str">
        <v>Leyenda: escribe en celdas claras, los resultados automáticos quedan en paneles sombreados</v>
      </c>
      <c r="L27" s="214" t="str">
        <v>Leyenda: escribe en celdas claras, los resultados automáticos quedan en paneles sombreados</v>
      </c>
      <c r="M27" s="214" t="str">
        <v>Leyenda: escribe en celdas claras, los resultados automáticos quedan en paneles sombreados</v>
      </c>
      <c r="N27" s="215" t="str">
        <v>Leyenda: escribe en celdas claras, los resultados automáticos quedan en paneles sombreados</v>
      </c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3"/>
      <c r="AX27" s="183"/>
      <c r="AY27" s="183"/>
      <c r="AZ27" s="183"/>
    </row>
    <row r="28" ht="15" hidden="0" customHeight="1">
      <c r="A28" s="204" t="str">
        <v>Editable</v>
      </c>
      <c r="B28" s="205" t="str">
        <v>Automático</v>
      </c>
      <c r="C28" s="205" t="str">
        <v>Alta prioridad</v>
      </c>
      <c r="D28" s="205" t="str">
        <v>Activo</v>
      </c>
      <c r="E28" s="205" t="str">
        <v>Meta</v>
      </c>
      <c r="F28" s="222" t="str">
        <v>Progreso</v>
      </c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183"/>
      <c r="AR28" s="183"/>
      <c r="AS28" s="183"/>
      <c r="AT28" s="183"/>
      <c r="AU28" s="183"/>
      <c r="AV28" s="183"/>
      <c r="AW28" s="183"/>
      <c r="AX28" s="183"/>
      <c r="AY28" s="183"/>
      <c r="AZ28" s="183"/>
    </row>
    <row r="29" ht="24" hidden="0" customHeight="1">
      <c r="A29" s="210" t="str">
        <v>Celdas blancas</v>
      </c>
      <c r="B29" s="211" t="str">
        <v>Celdas sombreadas</v>
      </c>
      <c r="C29" s="211" t="str">
        <v>Color alerta suave</v>
      </c>
      <c r="D29" s="211" t="str">
        <v>Verde suave</v>
      </c>
      <c r="E29" s="211" t="str">
        <v>Días esperados</v>
      </c>
      <c r="F29" s="224" t="str">
        <v>% automático</v>
      </c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3"/>
      <c r="AX29" s="183"/>
      <c r="AY29" s="183"/>
      <c r="AZ29" s="183"/>
    </row>
    <row r="30" ht="15" hidden="0" customHeight="1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  <c r="AU30" s="183"/>
      <c r="AV30" s="183"/>
      <c r="AW30" s="183"/>
      <c r="AX30" s="183"/>
      <c r="AY30" s="183"/>
      <c r="AZ30" s="183"/>
    </row>
    <row r="31" ht="15" hidden="0" customHeight="1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3"/>
      <c r="AX31" s="183"/>
      <c r="AY31" s="183"/>
      <c r="AZ31" s="183"/>
    </row>
    <row r="32" ht="15" hidden="0" customHeight="1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  <c r="AU32" s="183"/>
      <c r="AV32" s="183"/>
      <c r="AW32" s="183"/>
      <c r="AX32" s="183"/>
      <c r="AY32" s="183"/>
      <c r="AZ32" s="183"/>
    </row>
    <row r="33" ht="15" hidden="0" customHeight="1">
      <c r="A33" s="183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3"/>
      <c r="AX33" s="183"/>
      <c r="AY33" s="183"/>
      <c r="AZ33" s="183"/>
    </row>
    <row r="34" ht="15" hidden="0" customHeight="1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3"/>
    </row>
    <row r="35" ht="15" hidden="0" customHeight="1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</row>
    <row r="36" ht="15" hidden="0" customHeight="1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83"/>
      <c r="AY36" s="183"/>
      <c r="AZ36" s="183"/>
    </row>
    <row r="37" ht="15" hidden="0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3"/>
      <c r="AX37" s="183"/>
      <c r="AY37" s="183"/>
      <c r="AZ37" s="183"/>
    </row>
    <row r="38" ht="15" hidden="0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3"/>
      <c r="AQ38" s="183"/>
      <c r="AR38" s="183"/>
      <c r="AS38" s="183"/>
      <c r="AT38" s="183"/>
      <c r="AU38" s="183"/>
      <c r="AV38" s="183"/>
      <c r="AW38" s="183"/>
      <c r="AX38" s="183"/>
      <c r="AY38" s="183"/>
      <c r="AZ38" s="183"/>
    </row>
    <row r="39" ht="15" hidden="0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</row>
    <row r="40" ht="15" hidden="0" customHeight="1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  <c r="AO40" s="183"/>
      <c r="AP40" s="183"/>
      <c r="AQ40" s="183"/>
      <c r="AR40" s="183"/>
      <c r="AS40" s="183"/>
      <c r="AT40" s="183"/>
      <c r="AU40" s="183"/>
      <c r="AV40" s="183"/>
      <c r="AW40" s="183"/>
      <c r="AX40" s="183"/>
      <c r="AY40" s="183"/>
      <c r="AZ40" s="183"/>
    </row>
    <row r="41" ht="15" hidden="0" customHeight="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</row>
    <row r="42" ht="15" hidden="0" customHeight="1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</row>
    <row r="43" ht="15" hidden="0" customHeight="1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</row>
    <row r="44" ht="15" hidden="0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</row>
    <row r="45" ht="15" hidden="0" customHeight="1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</row>
    <row r="46" ht="15" hidden="0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</row>
    <row r="47" ht="15" hidden="0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3"/>
      <c r="AX47" s="183"/>
      <c r="AY47" s="183"/>
      <c r="AZ47" s="183"/>
    </row>
    <row r="48" ht="15" hidden="0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  <c r="AS48" s="183"/>
      <c r="AT48" s="183"/>
      <c r="AU48" s="183"/>
      <c r="AV48" s="183"/>
      <c r="AW48" s="183"/>
      <c r="AX48" s="183"/>
      <c r="AY48" s="183"/>
      <c r="AZ48" s="183"/>
    </row>
    <row r="49" ht="15" hidden="0" customHeight="1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  <c r="AY49" s="183"/>
      <c r="AZ49" s="183"/>
    </row>
    <row r="50" ht="15" hidden="0" customHeight="1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</row>
    <row r="51" ht="15" hidden="0" customHeight="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</row>
    <row r="52" ht="15" hidden="0" customHeight="1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</row>
    <row r="53" ht="15" hidden="0" customHeight="1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</row>
    <row r="54" ht="15" hidden="0" customHeight="1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</row>
    <row r="55" ht="15" hidden="0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</row>
    <row r="56" ht="15" hidden="0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</row>
    <row r="57" ht="15" hidden="0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</row>
    <row r="58" ht="15" hidden="0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</row>
    <row r="59" ht="15" hidden="0" customHeight="1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</row>
    <row r="60" ht="15" hidden="0" customHeight="1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</row>
    <row r="61" ht="15" hidden="0" customHeight="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</row>
    <row r="62" ht="15" hidden="0" customHeight="1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</row>
    <row r="63" ht="15" hidden="0" customHeight="1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</row>
    <row r="64" ht="15" hidden="0" customHeight="1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</row>
    <row r="65" ht="15" hidden="0" customHeight="1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</row>
    <row r="66" ht="15" hidden="0" customHeight="1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</row>
    <row r="67" ht="15" hidden="0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</row>
    <row r="68" ht="15" hidden="0" customHeight="1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</row>
    <row r="69" ht="15" hidden="0" customHeight="1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</row>
    <row r="70" ht="15" hidden="0" customHeight="1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</row>
    <row r="71" ht="15" hidden="0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</row>
    <row r="72" ht="15" hidden="0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</row>
    <row r="73" ht="15" hidden="0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</row>
    <row r="74" ht="15" hidden="0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</row>
    <row r="75" ht="15" hidden="0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</row>
    <row r="76" ht="15" hidden="0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</row>
    <row r="77" ht="15" hidden="0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</row>
    <row r="78" ht="15" hidden="0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</row>
    <row r="79" ht="15" hidden="0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</row>
    <row r="80" ht="15" hidden="0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</row>
    <row r="81" ht="15" hidden="0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</row>
    <row r="82" ht="15" hidden="0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</row>
    <row r="83" ht="15" hidden="0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</row>
    <row r="84" ht="15" hidden="0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</row>
    <row r="85" ht="15" hidden="0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</row>
    <row r="86" ht="15" hidden="0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3"/>
      <c r="AO86" s="183"/>
      <c r="AP86" s="183"/>
      <c r="AQ86" s="183"/>
      <c r="AR86" s="183"/>
      <c r="AS86" s="183"/>
      <c r="AT86" s="183"/>
      <c r="AU86" s="183"/>
      <c r="AV86" s="183"/>
      <c r="AW86" s="183"/>
      <c r="AX86" s="183"/>
      <c r="AY86" s="183"/>
      <c r="AZ86" s="183"/>
    </row>
    <row r="87" ht="15" hidden="0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Q87" s="183"/>
      <c r="AR87" s="183"/>
      <c r="AS87" s="183"/>
      <c r="AT87" s="183"/>
      <c r="AU87" s="183"/>
      <c r="AV87" s="183"/>
      <c r="AW87" s="183"/>
      <c r="AX87" s="183"/>
      <c r="AY87" s="183"/>
      <c r="AZ87" s="183"/>
    </row>
    <row r="88" ht="15" hidden="0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  <c r="AS88" s="183"/>
      <c r="AT88" s="183"/>
      <c r="AU88" s="183"/>
      <c r="AV88" s="183"/>
      <c r="AW88" s="183"/>
      <c r="AX88" s="183"/>
      <c r="AY88" s="183"/>
      <c r="AZ88" s="183"/>
    </row>
    <row r="89" ht="15" hidden="0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  <c r="AS89" s="183"/>
      <c r="AT89" s="183"/>
      <c r="AU89" s="183"/>
      <c r="AV89" s="183"/>
      <c r="AW89" s="183"/>
      <c r="AX89" s="183"/>
      <c r="AY89" s="183"/>
      <c r="AZ89" s="183"/>
    </row>
    <row r="90" ht="15" hidden="0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  <c r="AP90" s="183"/>
      <c r="AQ90" s="183"/>
      <c r="AR90" s="183"/>
      <c r="AS90" s="183"/>
      <c r="AT90" s="183"/>
      <c r="AU90" s="183"/>
      <c r="AV90" s="183"/>
      <c r="AW90" s="183"/>
      <c r="AX90" s="183"/>
      <c r="AY90" s="183"/>
      <c r="AZ90" s="183"/>
    </row>
  </sheetData>
  <sheetProtection sheet="1" objects="1" scenarios="1"/>
  <mergeCells>
    <mergeCell ref="A1:N2"/>
    <mergeCell ref="A27:N27"/>
  </mergeCells>
  <conditionalFormatting sqref="I5:I24">
    <cfRule type="colorScale" priority="1">
      <colorScale>
        <cfvo type="min"/>
        <cfvo type="percentile" val="50"/>
        <cfvo type="max"/>
        <color rgb="FFEED9D3"/>
        <color rgb="FFF3E4BC"/>
        <color rgb="FFDDE8D8"/>
      </colorScale>
    </cfRule>
  </conditionalFormatting>
  <conditionalFormatting sqref="F5:F24">
    <cfRule type="containsText" dxfId="0" priority="2" operator="containsText" text="Alta"/>
  </conditionalFormatting>
  <conditionalFormatting sqref="G5:G24">
    <cfRule type="containsText" dxfId="1" priority="3" operator="containsText" text="Sí"/>
  </conditionalFormatting>
  <dataValidations count="4">
    <dataValidation type="list" sqref="C5:C24">
      <formula1>"Salud,Ejercicio,Estudio,Trabajo,Espiritualidad,Finanzas,Lectura,Descanso,Alimentación,Productividad,Personal"</formula1>
    </dataValidation>
    <dataValidation type="list" sqref="D5:D24">
      <formula1>"Diaria,5 veces/semana,3 veces/semana,Semanal,Personalizada"</formula1>
    </dataValidation>
    <dataValidation type="list" sqref="F5:F24">
      <formula1>"Alta,Media,Baja"</formula1>
    </dataValidation>
    <dataValidation type="list" sqref="G5:G24">
      <formula1>"Sí,No"</formula1>
    </dataValidation>
  </dataValidations>
  <pageMargins left="0.7" right="0.7" top="0.75" bottom="0.75" header="0.3" footer="0.3"/>
  <tableParts count="1">
    <tablePart r:id="Rb0e099d32bbe4734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6" hidden="0" customWidth="1"/>
    <col min="2" max="2" width="22" hidden="0" customWidth="1"/>
    <col min="3" max="3" width="15" hidden="0" customWidth="1"/>
    <col min="4" max="4" width="4.5" hidden="0" customWidth="1"/>
    <col min="5" max="5" width="4.5" hidden="0" customWidth="1"/>
    <col min="6" max="6" width="4.5" hidden="0" customWidth="1"/>
    <col min="7" max="7" width="4.5" hidden="0" customWidth="1"/>
    <col min="8" max="8" width="4.5" hidden="0" customWidth="1"/>
    <col min="9" max="9" width="4.5" hidden="0" customWidth="1"/>
    <col min="10" max="10" width="4.5" hidden="0" customWidth="1"/>
    <col min="11" max="11" width="4.5" hidden="0" customWidth="1"/>
    <col min="12" max="12" width="4.5" hidden="0" customWidth="1"/>
    <col min="13" max="13" width="4.5" hidden="0" customWidth="1"/>
    <col min="14" max="14" width="4.5" hidden="0" customWidth="1"/>
    <col min="15" max="15" width="4.5" hidden="0" customWidth="1"/>
    <col min="16" max="16" width="4.5" hidden="0" customWidth="1"/>
    <col min="17" max="17" width="4.5" hidden="0" customWidth="1"/>
    <col min="18" max="18" width="4.5" hidden="0" customWidth="1"/>
    <col min="19" max="19" width="4.5" hidden="0" customWidth="1"/>
    <col min="20" max="20" width="4.5" hidden="0" customWidth="1"/>
    <col min="21" max="21" width="4.5" hidden="0" customWidth="1"/>
    <col min="22" max="22" width="4.5" hidden="0" customWidth="1"/>
    <col min="23" max="23" width="4.5" hidden="0" customWidth="1"/>
    <col min="24" max="24" width="4.5" hidden="0" customWidth="1"/>
    <col min="25" max="25" width="4.5" hidden="0" customWidth="1"/>
    <col min="26" max="26" width="4.5" hidden="0" customWidth="1"/>
    <col min="27" max="27" width="4.5" hidden="0" customWidth="1"/>
    <col min="28" max="28" width="4.5" hidden="0" customWidth="1"/>
    <col min="29" max="29" width="4.5" hidden="0" customWidth="1"/>
    <col min="30" max="30" width="4.5" hidden="0" customWidth="1"/>
    <col min="31" max="31" width="4.5" hidden="0" customWidth="1"/>
    <col min="32" max="32" width="4.5" hidden="0" customWidth="1"/>
    <col min="33" max="33" width="4.5" hidden="0" customWidth="1"/>
    <col min="34" max="34" width="4.5" hidden="0" customWidth="1"/>
    <col min="35" max="35" width="15" hidden="0" customWidth="1"/>
    <col min="36" max="36" width="15" hidden="0" customWidth="1"/>
    <col min="37" max="37" width="15" hidden="0" customWidth="1"/>
    <col min="38" max="38" width="15" hidden="0" customWidth="1"/>
    <col min="39" max="39" width="15" hidden="0" customWidth="1"/>
    <col min="40" max="40" width="15" hidden="0" customWidth="1"/>
    <col min="41" max="41" width="15" hidden="0" customWidth="1"/>
  </cols>
  <sheetData>
    <row r="1" ht="15" hidden="0" customHeight="1">
      <c r="A1" s="182" t="str">
        <v>Daily Tracker / Registro diario</v>
      </c>
      <c r="B1" s="182" t="str">
        <v>Daily Tracker / Registro diario</v>
      </c>
      <c r="C1" s="182" t="str">
        <v>Daily Tracker / Registro diario</v>
      </c>
      <c r="D1" s="182" t="str">
        <v>Daily Tracker / Registro diario</v>
      </c>
      <c r="E1" s="182" t="str">
        <v>Daily Tracker / Registro diario</v>
      </c>
      <c r="F1" s="182" t="str">
        <v>Daily Tracker / Registro diario</v>
      </c>
      <c r="G1" s="182" t="str">
        <v>Daily Tracker / Registro diario</v>
      </c>
      <c r="H1" s="182" t="str">
        <v>Daily Tracker / Registro diario</v>
      </c>
      <c r="I1" s="182" t="str">
        <v>Daily Tracker / Registro diario</v>
      </c>
      <c r="J1" s="182" t="str">
        <v>Daily Tracker / Registro diario</v>
      </c>
      <c r="K1" s="182" t="str">
        <v>Daily Tracker / Registro diario</v>
      </c>
      <c r="L1" s="182" t="str">
        <v>Daily Tracker / Registro diario</v>
      </c>
      <c r="M1" s="182" t="str">
        <v>Daily Tracker / Registro diario</v>
      </c>
      <c r="N1" s="182" t="str">
        <v>Daily Tracker / Registro diario</v>
      </c>
      <c r="O1" s="182" t="str">
        <v>Daily Tracker / Registro diario</v>
      </c>
      <c r="P1" s="182" t="str">
        <v>Daily Tracker / Registro diario</v>
      </c>
      <c r="Q1" s="182" t="str">
        <v>Daily Tracker / Registro diario</v>
      </c>
      <c r="R1" s="182" t="str">
        <v>Daily Tracker / Registro diario</v>
      </c>
      <c r="S1" s="182" t="str">
        <v>Daily Tracker / Registro diario</v>
      </c>
      <c r="T1" s="182" t="str">
        <v>Daily Tracker / Registro diario</v>
      </c>
      <c r="U1" s="182" t="str">
        <v>Daily Tracker / Registro diario</v>
      </c>
      <c r="V1" s="182" t="str">
        <v>Daily Tracker / Registro diario</v>
      </c>
      <c r="W1" s="182" t="str">
        <v>Daily Tracker / Registro diario</v>
      </c>
      <c r="X1" s="182" t="str">
        <v>Daily Tracker / Registro diario</v>
      </c>
      <c r="Y1" s="182" t="str">
        <v>Daily Tracker / Registro diario</v>
      </c>
      <c r="Z1" s="182" t="str">
        <v>Daily Tracker / Registro diario</v>
      </c>
      <c r="AA1" s="182" t="str">
        <v>Daily Tracker / Registro diario</v>
      </c>
      <c r="AB1" s="182" t="str">
        <v>Daily Tracker / Registro diario</v>
      </c>
      <c r="AC1" s="182" t="str">
        <v>Daily Tracker / Registro diario</v>
      </c>
      <c r="AD1" s="182" t="str">
        <v>Daily Tracker / Registro diario</v>
      </c>
      <c r="AE1" s="182" t="str">
        <v>Daily Tracker / Registro diario</v>
      </c>
      <c r="AF1" s="182" t="str">
        <v>Daily Tracker / Registro diario</v>
      </c>
      <c r="AG1" s="182" t="str">
        <v>Daily Tracker / Registro diario</v>
      </c>
      <c r="AH1" s="182" t="str">
        <v>Daily Tracker / Registro diario</v>
      </c>
      <c r="AI1" s="182" t="str">
        <v>Daily Tracker / Registro diario</v>
      </c>
      <c r="AJ1" s="182" t="str">
        <v>Daily Tracker / Registro diario</v>
      </c>
      <c r="AK1" s="182" t="str">
        <v>Daily Tracker / Registro diario</v>
      </c>
      <c r="AL1" s="182" t="str">
        <v>Daily Tracker / Registro diario</v>
      </c>
      <c r="AM1" s="182" t="str">
        <v>Daily Tracker / Registro diario</v>
      </c>
      <c r="AN1" s="182" t="str">
        <v>Daily Tracker / Registro diario</v>
      </c>
      <c r="AO1" s="182" t="str">
        <v>Daily Tracker / Registro diario</v>
      </c>
      <c r="AP1" s="183"/>
      <c r="AQ1" s="183"/>
      <c r="AR1" s="183"/>
      <c r="AS1" s="183"/>
      <c r="AT1" s="183"/>
      <c r="AU1" s="183"/>
      <c r="AV1" s="183"/>
      <c r="AW1" s="183"/>
      <c r="AX1" s="183"/>
      <c r="AY1" s="183"/>
      <c r="AZ1" s="183"/>
    </row>
    <row r="2" ht="15" hidden="0" customHeight="1">
      <c r="A2" s="182" t="str">
        <v>Daily Tracker / Registro diario</v>
      </c>
      <c r="B2" s="182" t="str">
        <v>Daily Tracker / Registro diario</v>
      </c>
      <c r="C2" s="182" t="str">
        <v>Daily Tracker / Registro diario</v>
      </c>
      <c r="D2" s="182" t="str">
        <v>Daily Tracker / Registro diario</v>
      </c>
      <c r="E2" s="182" t="str">
        <v>Daily Tracker / Registro diario</v>
      </c>
      <c r="F2" s="182" t="str">
        <v>Daily Tracker / Registro diario</v>
      </c>
      <c r="G2" s="182" t="str">
        <v>Daily Tracker / Registro diario</v>
      </c>
      <c r="H2" s="182" t="str">
        <v>Daily Tracker / Registro diario</v>
      </c>
      <c r="I2" s="182" t="str">
        <v>Daily Tracker / Registro diario</v>
      </c>
      <c r="J2" s="182" t="str">
        <v>Daily Tracker / Registro diario</v>
      </c>
      <c r="K2" s="182" t="str">
        <v>Daily Tracker / Registro diario</v>
      </c>
      <c r="L2" s="182" t="str">
        <v>Daily Tracker / Registro diario</v>
      </c>
      <c r="M2" s="182" t="str">
        <v>Daily Tracker / Registro diario</v>
      </c>
      <c r="N2" s="182" t="str">
        <v>Daily Tracker / Registro diario</v>
      </c>
      <c r="O2" s="182" t="str">
        <v>Daily Tracker / Registro diario</v>
      </c>
      <c r="P2" s="182" t="str">
        <v>Daily Tracker / Registro diario</v>
      </c>
      <c r="Q2" s="182" t="str">
        <v>Daily Tracker / Registro diario</v>
      </c>
      <c r="R2" s="182" t="str">
        <v>Daily Tracker / Registro diario</v>
      </c>
      <c r="S2" s="182" t="str">
        <v>Daily Tracker / Registro diario</v>
      </c>
      <c r="T2" s="182" t="str">
        <v>Daily Tracker / Registro diario</v>
      </c>
      <c r="U2" s="182" t="str">
        <v>Daily Tracker / Registro diario</v>
      </c>
      <c r="V2" s="182" t="str">
        <v>Daily Tracker / Registro diario</v>
      </c>
      <c r="W2" s="182" t="str">
        <v>Daily Tracker / Registro diario</v>
      </c>
      <c r="X2" s="182" t="str">
        <v>Daily Tracker / Registro diario</v>
      </c>
      <c r="Y2" s="182" t="str">
        <v>Daily Tracker / Registro diario</v>
      </c>
      <c r="Z2" s="182" t="str">
        <v>Daily Tracker / Registro diario</v>
      </c>
      <c r="AA2" s="182" t="str">
        <v>Daily Tracker / Registro diario</v>
      </c>
      <c r="AB2" s="182" t="str">
        <v>Daily Tracker / Registro diario</v>
      </c>
      <c r="AC2" s="182" t="str">
        <v>Daily Tracker / Registro diario</v>
      </c>
      <c r="AD2" s="182" t="str">
        <v>Daily Tracker / Registro diario</v>
      </c>
      <c r="AE2" s="182" t="str">
        <v>Daily Tracker / Registro diario</v>
      </c>
      <c r="AF2" s="182" t="str">
        <v>Daily Tracker / Registro diario</v>
      </c>
      <c r="AG2" s="182" t="str">
        <v>Daily Tracker / Registro diario</v>
      </c>
      <c r="AH2" s="182" t="str">
        <v>Daily Tracker / Registro diario</v>
      </c>
      <c r="AI2" s="182" t="str">
        <v>Daily Tracker / Registro diario</v>
      </c>
      <c r="AJ2" s="182" t="str">
        <v>Daily Tracker / Registro diario</v>
      </c>
      <c r="AK2" s="182" t="str">
        <v>Daily Tracker / Registro diario</v>
      </c>
      <c r="AL2" s="182" t="str">
        <v>Daily Tracker / Registro diario</v>
      </c>
      <c r="AM2" s="182" t="str">
        <v>Daily Tracker / Registro diario</v>
      </c>
      <c r="AN2" s="182" t="str">
        <v>Daily Tracker / Registro diario</v>
      </c>
      <c r="AO2" s="182" t="str">
        <v>Daily Tracker / Registro diario</v>
      </c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</row>
    <row r="3" ht="39.599998474121094" hidden="0" customHeight="1">
      <c r="A3" s="242" t="str">
        <v>Mes</v>
      </c>
      <c r="B3" s="508" t="n">
        <v>1</v>
      </c>
      <c r="C3" s="243" t="str">
        <v>Año</v>
      </c>
      <c r="D3" s="508" t="n">
        <v>2026</v>
      </c>
      <c r="E3" s="243" t="str">
        <v>Día racha</v>
      </c>
      <c r="F3" s="509" t="n">
        <v>31</v>
      </c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</row>
    <row r="4" ht="15" hidden="0" customHeight="1">
      <c r="A4" s="183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</row>
    <row r="5" ht="15" hidden="0" customHeight="1">
      <c r="A5" s="216" t="str">
        <v>ID</v>
      </c>
      <c r="B5" s="217" t="str">
        <v>Hábito</v>
      </c>
      <c r="C5" s="217" t="str">
        <v>Categoría</v>
      </c>
      <c r="D5" s="217" t="n">
        <v>1</v>
      </c>
      <c r="E5" s="217" t="n">
        <v>2</v>
      </c>
      <c r="F5" s="217" t="n">
        <v>3</v>
      </c>
      <c r="G5" s="217" t="n">
        <v>4</v>
      </c>
      <c r="H5" s="217" t="n">
        <v>5</v>
      </c>
      <c r="I5" s="217" t="n">
        <v>6</v>
      </c>
      <c r="J5" s="217" t="n">
        <v>7</v>
      </c>
      <c r="K5" s="217" t="n">
        <v>8</v>
      </c>
      <c r="L5" s="217" t="n">
        <v>9</v>
      </c>
      <c r="M5" s="217" t="n">
        <v>10</v>
      </c>
      <c r="N5" s="217" t="n">
        <v>11</v>
      </c>
      <c r="O5" s="217" t="n">
        <v>12</v>
      </c>
      <c r="P5" s="217" t="n">
        <v>13</v>
      </c>
      <c r="Q5" s="217" t="n">
        <v>14</v>
      </c>
      <c r="R5" s="217" t="n">
        <v>15</v>
      </c>
      <c r="S5" s="217" t="n">
        <v>16</v>
      </c>
      <c r="T5" s="217" t="n">
        <v>17</v>
      </c>
      <c r="U5" s="217" t="n">
        <v>18</v>
      </c>
      <c r="V5" s="217" t="n">
        <v>19</v>
      </c>
      <c r="W5" s="217" t="n">
        <v>20</v>
      </c>
      <c r="X5" s="217" t="n">
        <v>21</v>
      </c>
      <c r="Y5" s="217" t="n">
        <v>22</v>
      </c>
      <c r="Z5" s="217" t="n">
        <v>23</v>
      </c>
      <c r="AA5" s="217" t="n">
        <v>24</v>
      </c>
      <c r="AB5" s="217" t="n">
        <v>25</v>
      </c>
      <c r="AC5" s="217" t="n">
        <v>26</v>
      </c>
      <c r="AD5" s="217" t="n">
        <v>27</v>
      </c>
      <c r="AE5" s="217" t="n">
        <v>28</v>
      </c>
      <c r="AF5" s="217" t="n">
        <v>29</v>
      </c>
      <c r="AG5" s="217" t="n">
        <v>30</v>
      </c>
      <c r="AH5" s="217" t="n">
        <v>31</v>
      </c>
      <c r="AI5" s="217" t="str">
        <v>Sí</v>
      </c>
      <c r="AJ5" s="217" t="str">
        <v>Parcial</v>
      </c>
      <c r="AK5" s="217" t="str">
        <v>No</v>
      </c>
      <c r="AL5" s="217" t="str">
        <v>%</v>
      </c>
      <c r="AM5" s="218" t="str">
        <v>Notas</v>
      </c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</row>
    <row r="6" ht="24" hidden="0" customHeight="1">
      <c r="A6" s="204" t="str">
        <f>IF('Configuracion'!B5="","","H01")</f>
        <v>H01</v>
      </c>
      <c r="B6" s="205" t="str">
        <f>IF('Configuracion'!B5="","",'Configuracion'!B5)</f>
        <v>Agua 8 vasos</v>
      </c>
      <c r="C6" s="205" t="str">
        <f>IF('Configuracion'!C5="","",'Configuracion'!C5)</f>
        <v>Salud</v>
      </c>
      <c r="D6" s="510" t="str">
        <v>No</v>
      </c>
      <c r="E6" s="510" t="str">
        <v>Sí</v>
      </c>
      <c r="F6" s="510" t="str">
        <v>Sí</v>
      </c>
      <c r="G6" s="510" t="str">
        <v>Sí</v>
      </c>
      <c r="H6" s="510" t="str">
        <v>Parcial</v>
      </c>
      <c r="I6" s="510" t="str">
        <v>No</v>
      </c>
      <c r="J6" s="510" t="str">
        <v>Sí</v>
      </c>
      <c r="K6" s="510" t="str">
        <v>Sí</v>
      </c>
      <c r="L6" s="510" t="str">
        <v>Parcial</v>
      </c>
      <c r="M6" s="510" t="str">
        <v>No</v>
      </c>
      <c r="N6" s="510" t="str">
        <v>Sí</v>
      </c>
      <c r="O6" s="510" t="str">
        <v>Sí</v>
      </c>
      <c r="P6" s="510" t="str">
        <v>Sí</v>
      </c>
      <c r="Q6" s="510" t="str">
        <v>No</v>
      </c>
      <c r="R6" s="510" t="str">
        <v>Sí</v>
      </c>
      <c r="S6" s="510" t="str">
        <v>Sí</v>
      </c>
      <c r="T6" s="510" t="str">
        <v>Sí</v>
      </c>
      <c r="U6" s="510" t="str">
        <v>Parcial</v>
      </c>
      <c r="V6" s="510" t="str">
        <v>No</v>
      </c>
      <c r="W6" s="510" t="str">
        <v>Sí</v>
      </c>
      <c r="X6" s="510" t="str">
        <v>Sí</v>
      </c>
      <c r="Y6" s="510" t="str">
        <v>Parcial</v>
      </c>
      <c r="Z6" s="510" t="str">
        <v>No</v>
      </c>
      <c r="AA6" s="510" t="str">
        <v>Sí</v>
      </c>
      <c r="AB6" s="510" t="str">
        <v>Sí</v>
      </c>
      <c r="AC6" s="510" t="str">
        <v>Sí</v>
      </c>
      <c r="AD6" s="510" t="str">
        <v>No</v>
      </c>
      <c r="AE6" s="510" t="str">
        <v>Sí</v>
      </c>
      <c r="AF6" s="510" t="str">
        <v>Sí</v>
      </c>
      <c r="AG6" s="510" t="str">
        <v>Sí</v>
      </c>
      <c r="AH6" s="510" t="str">
        <v>Parcial</v>
      </c>
      <c r="AI6" s="205" t="n">
        <f>COUNTIF(D6:AH6,"Sí")</f>
        <v>19</v>
      </c>
      <c r="AJ6" s="205" t="n">
        <f>COUNTIF(D6:AH6,"Parcial")</f>
        <v>5</v>
      </c>
      <c r="AK6" s="205" t="n">
        <f>COUNTIF(D6:AH6,"No")</f>
        <v>7</v>
      </c>
      <c r="AL6" s="246" t="n">
        <f>IFERROR((AI6+0.5*AJ6)/'Configuracion'!E5,0)</f>
        <v>0.86</v>
      </c>
      <c r="AM6" s="487"/>
      <c r="AN6" s="183"/>
      <c r="AO6" s="183"/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</row>
    <row r="7" ht="24" hidden="0" customHeight="1">
      <c r="A7" s="207" t="str">
        <f>IF('Configuracion'!B6="","","H02")</f>
        <v>H02</v>
      </c>
      <c r="B7" s="208" t="str">
        <f>IF('Configuracion'!B6="","",'Configuracion'!B6)</f>
        <v>Caminar 30 min</v>
      </c>
      <c r="C7" s="208" t="str">
        <f>IF('Configuracion'!C6="","",'Configuracion'!C6)</f>
        <v>Ejercicio</v>
      </c>
      <c r="D7" s="512" t="str">
        <v>Sí</v>
      </c>
      <c r="E7" s="512" t="str">
        <v>Sí</v>
      </c>
      <c r="F7" s="512" t="str">
        <v>No</v>
      </c>
      <c r="G7" s="512" t="str">
        <v>Sí</v>
      </c>
      <c r="H7" s="512" t="str">
        <v>Sí</v>
      </c>
      <c r="I7" s="512" t="str">
        <v>Sí</v>
      </c>
      <c r="J7" s="512" t="str">
        <v>Parcial</v>
      </c>
      <c r="K7" s="512" t="str">
        <v>No</v>
      </c>
      <c r="L7" s="512" t="str">
        <v>Sí</v>
      </c>
      <c r="M7" s="512" t="str">
        <v>Sí</v>
      </c>
      <c r="N7" s="512" t="str">
        <v>Parcial</v>
      </c>
      <c r="O7" s="512" t="str">
        <v>No</v>
      </c>
      <c r="P7" s="512" t="str">
        <v>Sí</v>
      </c>
      <c r="Q7" s="512" t="str">
        <v>Sí</v>
      </c>
      <c r="R7" s="512" t="str">
        <v>Sí</v>
      </c>
      <c r="S7" s="512" t="str">
        <v>No</v>
      </c>
      <c r="T7" s="512" t="str">
        <v>Sí</v>
      </c>
      <c r="U7" s="512" t="str">
        <v>Sí</v>
      </c>
      <c r="V7" s="512" t="str">
        <v>Sí</v>
      </c>
      <c r="W7" s="512" t="str">
        <v>Parcial</v>
      </c>
      <c r="X7" s="512" t="str">
        <v>No</v>
      </c>
      <c r="Y7" s="512" t="str">
        <v>Sí</v>
      </c>
      <c r="Z7" s="512" t="str">
        <v>Sí</v>
      </c>
      <c r="AA7" s="512" t="str">
        <v>Parcial</v>
      </c>
      <c r="AB7" s="512" t="str">
        <v>No</v>
      </c>
      <c r="AC7" s="512" t="str">
        <v>Sí</v>
      </c>
      <c r="AD7" s="512" t="str">
        <v>Sí</v>
      </c>
      <c r="AE7" s="512" t="str">
        <v>Sí</v>
      </c>
      <c r="AF7" s="512" t="str">
        <v>No</v>
      </c>
      <c r="AG7" s="512" t="str">
        <v>Sí</v>
      </c>
      <c r="AH7" s="512" t="str">
        <v>Sí</v>
      </c>
      <c r="AI7" s="208" t="n">
        <f>COUNTIF(D7:AH7,"Sí")</f>
        <v>20</v>
      </c>
      <c r="AJ7" s="208" t="n">
        <f>COUNTIF(D7:AH7,"Parcial")</f>
        <v>4</v>
      </c>
      <c r="AK7" s="208" t="n">
        <f>COUNTIF(D7:AH7,"No")</f>
        <v>7</v>
      </c>
      <c r="AL7" s="248" t="n">
        <f>IFERROR((AI7+0.5*AJ7)/'Configuracion'!E6,0)</f>
        <v>1.1</v>
      </c>
      <c r="AM7" s="488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</row>
    <row r="8" ht="24" hidden="0" customHeight="1">
      <c r="A8" s="207" t="str">
        <f>IF('Configuracion'!B7="","","H03")</f>
        <v>H03</v>
      </c>
      <c r="B8" s="208" t="str">
        <f>IF('Configuracion'!B7="","",'Configuracion'!B7)</f>
        <v>Leer 10 páginas</v>
      </c>
      <c r="C8" s="208" t="str">
        <f>IF('Configuracion'!C7="","",'Configuracion'!C7)</f>
        <v>Lectura</v>
      </c>
      <c r="D8" s="512" t="str">
        <v>No</v>
      </c>
      <c r="E8" s="512" t="str">
        <v>Sí</v>
      </c>
      <c r="F8" s="512" t="str">
        <v>Sí</v>
      </c>
      <c r="G8" s="512" t="str">
        <v>Sí</v>
      </c>
      <c r="H8" s="512" t="str">
        <v>No</v>
      </c>
      <c r="I8" s="512" t="str">
        <v>Sí</v>
      </c>
      <c r="J8" s="512" t="str">
        <v>Sí</v>
      </c>
      <c r="K8" s="512" t="str">
        <v>Sí</v>
      </c>
      <c r="L8" s="512" t="str">
        <v>Parcial</v>
      </c>
      <c r="M8" s="512" t="str">
        <v>No</v>
      </c>
      <c r="N8" s="512" t="str">
        <v>Sí</v>
      </c>
      <c r="O8" s="512" t="str">
        <v>Sí</v>
      </c>
      <c r="P8" s="512" t="str">
        <v>Parcial</v>
      </c>
      <c r="Q8" s="512" t="str">
        <v>No</v>
      </c>
      <c r="R8" s="512" t="str">
        <v>Sí</v>
      </c>
      <c r="S8" s="512" t="str">
        <v>Sí</v>
      </c>
      <c r="T8" s="512" t="str">
        <v>Sí</v>
      </c>
      <c r="U8" s="512" t="str">
        <v>No</v>
      </c>
      <c r="V8" s="512" t="str">
        <v>Sí</v>
      </c>
      <c r="W8" s="512" t="str">
        <v>Sí</v>
      </c>
      <c r="X8" s="512" t="str">
        <v>Sí</v>
      </c>
      <c r="Y8" s="512" t="str">
        <v>Parcial</v>
      </c>
      <c r="Z8" s="512" t="str">
        <v>No</v>
      </c>
      <c r="AA8" s="512" t="str">
        <v>Sí</v>
      </c>
      <c r="AB8" s="512" t="str">
        <v>Sí</v>
      </c>
      <c r="AC8" s="512" t="str">
        <v>Parcial</v>
      </c>
      <c r="AD8" s="512" t="str">
        <v>No</v>
      </c>
      <c r="AE8" s="512" t="str">
        <v>Sí</v>
      </c>
      <c r="AF8" s="512" t="str">
        <v>Sí</v>
      </c>
      <c r="AG8" s="512" t="str">
        <v>Sí</v>
      </c>
      <c r="AH8" s="512" t="str">
        <v>No</v>
      </c>
      <c r="AI8" s="208" t="n">
        <f>COUNTIF(D8:AH8,"Sí")</f>
        <v>19</v>
      </c>
      <c r="AJ8" s="208" t="n">
        <f>COUNTIF(D8:AH8,"Parcial")</f>
        <v>4</v>
      </c>
      <c r="AK8" s="208" t="n">
        <f>COUNTIF(D8:AH8,"No")</f>
        <v>8</v>
      </c>
      <c r="AL8" s="248" t="n">
        <f>IFERROR((AI8+0.5*AJ8)/'Configuracion'!E7,0)</f>
        <v>0.9545454545454546</v>
      </c>
      <c r="AM8" s="488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</row>
    <row r="9" ht="24" hidden="0" customHeight="1">
      <c r="A9" s="207" t="str">
        <f>IF('Configuracion'!B8="","","H04")</f>
        <v>H04</v>
      </c>
      <c r="B9" s="208" t="str">
        <f>IF('Configuracion'!B8="","",'Configuracion'!B8)</f>
        <v>Dormir 7+ horas</v>
      </c>
      <c r="C9" s="208" t="str">
        <f>IF('Configuracion'!C8="","",'Configuracion'!C8)</f>
        <v>Descanso</v>
      </c>
      <c r="D9" s="512" t="str">
        <v>Sí</v>
      </c>
      <c r="E9" s="512" t="str">
        <v>Parcial</v>
      </c>
      <c r="F9" s="512" t="str">
        <v>No</v>
      </c>
      <c r="G9" s="512" t="str">
        <v>Sí</v>
      </c>
      <c r="H9" s="512" t="str">
        <v>Sí</v>
      </c>
      <c r="I9" s="512" t="str">
        <v>Sí</v>
      </c>
      <c r="J9" s="512" t="str">
        <v>No</v>
      </c>
      <c r="K9" s="512" t="str">
        <v>Sí</v>
      </c>
      <c r="L9" s="512" t="str">
        <v>Sí</v>
      </c>
      <c r="M9" s="512" t="str">
        <v>Sí</v>
      </c>
      <c r="N9" s="512" t="str">
        <v>Parcial</v>
      </c>
      <c r="O9" s="512" t="str">
        <v>No</v>
      </c>
      <c r="P9" s="512" t="str">
        <v>Sí</v>
      </c>
      <c r="Q9" s="512" t="str">
        <v>Sí</v>
      </c>
      <c r="R9" s="512" t="str">
        <v>Parcial</v>
      </c>
      <c r="S9" s="512" t="str">
        <v>No</v>
      </c>
      <c r="T9" s="512" t="str">
        <v>Sí</v>
      </c>
      <c r="U9" s="512" t="str">
        <v>Sí</v>
      </c>
      <c r="V9" s="512" t="str">
        <v>Sí</v>
      </c>
      <c r="W9" s="512" t="str">
        <v>No</v>
      </c>
      <c r="X9" s="512" t="str">
        <v>Sí</v>
      </c>
      <c r="Y9" s="512" t="str">
        <v>Sí</v>
      </c>
      <c r="Z9" s="512" t="str">
        <v>Sí</v>
      </c>
      <c r="AA9" s="512" t="str">
        <v>Parcial</v>
      </c>
      <c r="AB9" s="512" t="str">
        <v>No</v>
      </c>
      <c r="AC9" s="512" t="str">
        <v>Sí</v>
      </c>
      <c r="AD9" s="512" t="str">
        <v>Sí</v>
      </c>
      <c r="AE9" s="512" t="str">
        <v>Parcial</v>
      </c>
      <c r="AF9" s="512" t="str">
        <v>No</v>
      </c>
      <c r="AG9" s="512" t="str">
        <v>Sí</v>
      </c>
      <c r="AH9" s="512" t="str">
        <v>Sí</v>
      </c>
      <c r="AI9" s="208" t="n">
        <f>COUNTIF(D9:AH9,"Sí")</f>
        <v>19</v>
      </c>
      <c r="AJ9" s="208" t="n">
        <f>COUNTIF(D9:AH9,"Parcial")</f>
        <v>5</v>
      </c>
      <c r="AK9" s="208" t="n">
        <f>COUNTIF(D9:AH9,"No")</f>
        <v>7</v>
      </c>
      <c r="AL9" s="248" t="n">
        <f>IFERROR((AI9+0.5*AJ9)/'Configuracion'!E8,0)</f>
        <v>0.8958333333333334</v>
      </c>
      <c r="AM9" s="488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</row>
    <row r="10" ht="24" hidden="0" customHeight="1">
      <c r="A10" s="207" t="str">
        <f>IF('Configuracion'!B9="","","H05")</f>
        <v>H05</v>
      </c>
      <c r="B10" s="208" t="str">
        <f>IF('Configuracion'!B9="","",'Configuracion'!B9)</f>
        <v>Estudiar 45 min</v>
      </c>
      <c r="C10" s="208" t="str">
        <f>IF('Configuracion'!C9="","",'Configuracion'!C9)</f>
        <v>Estudio</v>
      </c>
      <c r="D10" s="512" t="str">
        <v>No</v>
      </c>
      <c r="E10" s="512" t="str">
        <v>Sí</v>
      </c>
      <c r="F10" s="512" t="str">
        <v>Sí</v>
      </c>
      <c r="G10" s="512" t="str">
        <v>Parcial</v>
      </c>
      <c r="H10" s="512" t="str">
        <v>No</v>
      </c>
      <c r="I10" s="512" t="str">
        <v>Sí</v>
      </c>
      <c r="J10" s="512" t="str">
        <v>Sí</v>
      </c>
      <c r="K10" s="512" t="str">
        <v>Sí</v>
      </c>
      <c r="L10" s="512" t="str">
        <v>No</v>
      </c>
      <c r="M10" s="512" t="str">
        <v>Sí</v>
      </c>
      <c r="N10" s="512" t="str">
        <v>Sí</v>
      </c>
      <c r="O10" s="512" t="str">
        <v>Sí</v>
      </c>
      <c r="P10" s="512" t="str">
        <v>Parcial</v>
      </c>
      <c r="Q10" s="512" t="str">
        <v>No</v>
      </c>
      <c r="R10" s="512" t="str">
        <v>Sí</v>
      </c>
      <c r="S10" s="512" t="str">
        <v>Sí</v>
      </c>
      <c r="T10" s="512" t="str">
        <v>Parcial</v>
      </c>
      <c r="U10" s="512" t="str">
        <v>No</v>
      </c>
      <c r="V10" s="512" t="str">
        <v>Sí</v>
      </c>
      <c r="W10" s="512" t="str">
        <v>Sí</v>
      </c>
      <c r="X10" s="512" t="str">
        <v>Sí</v>
      </c>
      <c r="Y10" s="512" t="str">
        <v>No</v>
      </c>
      <c r="Z10" s="512" t="str">
        <v>Sí</v>
      </c>
      <c r="AA10" s="512" t="str">
        <v>Sí</v>
      </c>
      <c r="AB10" s="512" t="str">
        <v>Sí</v>
      </c>
      <c r="AC10" s="512" t="str">
        <v>Parcial</v>
      </c>
      <c r="AD10" s="512" t="str">
        <v>No</v>
      </c>
      <c r="AE10" s="512" t="str">
        <v>Sí</v>
      </c>
      <c r="AF10" s="512" t="str">
        <v>Sí</v>
      </c>
      <c r="AG10" s="512" t="str">
        <v>Parcial</v>
      </c>
      <c r="AH10" s="512" t="str">
        <v>No</v>
      </c>
      <c r="AI10" s="208" t="n">
        <f>COUNTIF(D10:AH10,"Sí")</f>
        <v>18</v>
      </c>
      <c r="AJ10" s="208" t="n">
        <f>COUNTIF(D10:AH10,"Parcial")</f>
        <v>5</v>
      </c>
      <c r="AK10" s="208" t="n">
        <f>COUNTIF(D10:AH10,"No")</f>
        <v>8</v>
      </c>
      <c r="AL10" s="248" t="n">
        <f>IFERROR((AI10+0.5*AJ10)/'Configuracion'!E9,0)</f>
        <v>1.025</v>
      </c>
      <c r="AM10" s="488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3"/>
    </row>
    <row r="11" ht="24" hidden="0" customHeight="1">
      <c r="A11" s="207" t="str">
        <f>IF('Configuracion'!B10="","","H06")</f>
        <v>H06</v>
      </c>
      <c r="B11" s="208" t="str">
        <f>IF('Configuracion'!B10="","",'Configuracion'!B10)</f>
        <v>Planificar el día</v>
      </c>
      <c r="C11" s="208" t="str">
        <f>IF('Configuracion'!C10="","",'Configuracion'!C10)</f>
        <v>Productividad</v>
      </c>
      <c r="D11" s="512" t="str">
        <v>Sí</v>
      </c>
      <c r="E11" s="512" t="str">
        <v>Parcial</v>
      </c>
      <c r="F11" s="512" t="str">
        <v>No</v>
      </c>
      <c r="G11" s="512" t="str">
        <v>Sí</v>
      </c>
      <c r="H11" s="512" t="str">
        <v>Sí</v>
      </c>
      <c r="I11" s="512" t="str">
        <v>Parcial</v>
      </c>
      <c r="J11" s="512" t="str">
        <v>No</v>
      </c>
      <c r="K11" s="512" t="str">
        <v>Sí</v>
      </c>
      <c r="L11" s="512" t="str">
        <v>Sí</v>
      </c>
      <c r="M11" s="512" t="str">
        <v>Sí</v>
      </c>
      <c r="N11" s="512" t="str">
        <v>No</v>
      </c>
      <c r="O11" s="512" t="str">
        <v>Sí</v>
      </c>
      <c r="P11" s="512" t="str">
        <v>Sí</v>
      </c>
      <c r="Q11" s="512" t="str">
        <v>Sí</v>
      </c>
      <c r="R11" s="512" t="str">
        <v>Parcial</v>
      </c>
      <c r="S11" s="512" t="str">
        <v>No</v>
      </c>
      <c r="T11" s="512" t="str">
        <v>Sí</v>
      </c>
      <c r="U11" s="512" t="str">
        <v>Sí</v>
      </c>
      <c r="V11" s="512" t="str">
        <v>Parcial</v>
      </c>
      <c r="W11" s="512" t="str">
        <v>No</v>
      </c>
      <c r="X11" s="512" t="str">
        <v>Sí</v>
      </c>
      <c r="Y11" s="512" t="str">
        <v>Sí</v>
      </c>
      <c r="Z11" s="512" t="str">
        <v>Sí</v>
      </c>
      <c r="AA11" s="512" t="str">
        <v>No</v>
      </c>
      <c r="AB11" s="512" t="str">
        <v>Sí</v>
      </c>
      <c r="AC11" s="512" t="str">
        <v>Sí</v>
      </c>
      <c r="AD11" s="512" t="str">
        <v>Sí</v>
      </c>
      <c r="AE11" s="512" t="str">
        <v>Parcial</v>
      </c>
      <c r="AF11" s="512" t="str">
        <v>No</v>
      </c>
      <c r="AG11" s="512" t="str">
        <v>Sí</v>
      </c>
      <c r="AH11" s="512" t="str">
        <v>Sí</v>
      </c>
      <c r="AI11" s="208" t="n">
        <f>COUNTIF(D11:AH11,"Sí")</f>
        <v>19</v>
      </c>
      <c r="AJ11" s="208" t="n">
        <f>COUNTIF(D11:AH11,"Parcial")</f>
        <v>5</v>
      </c>
      <c r="AK11" s="208" t="n">
        <f>COUNTIF(D11:AH11,"No")</f>
        <v>7</v>
      </c>
      <c r="AL11" s="248" t="n">
        <f>IFERROR((AI11+0.5*AJ11)/'Configuracion'!E10,0)</f>
        <v>0.8269230769230769</v>
      </c>
      <c r="AM11" s="488"/>
      <c r="AN11" s="183"/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  <c r="AY11" s="183"/>
      <c r="AZ11" s="183"/>
    </row>
    <row r="12" ht="24" hidden="0" customHeight="1">
      <c r="A12" s="207" t="str">
        <f>IF('Configuracion'!B11="","","H07")</f>
        <v>H07</v>
      </c>
      <c r="B12" s="208" t="str">
        <f>IF('Configuracion'!B11="","",'Configuracion'!B11)</f>
        <v>Registrar gastos</v>
      </c>
      <c r="C12" s="208" t="str">
        <f>IF('Configuracion'!C11="","",'Configuracion'!C11)</f>
        <v>Finanzas</v>
      </c>
      <c r="D12" s="512" t="str">
        <v>Sí</v>
      </c>
      <c r="E12" s="512" t="str">
        <v>Sí</v>
      </c>
      <c r="F12" s="512" t="str">
        <v>Sí</v>
      </c>
      <c r="G12" s="512" t="str">
        <v>Parcial</v>
      </c>
      <c r="H12" s="512" t="str">
        <v>No</v>
      </c>
      <c r="I12" s="512" t="str">
        <v>Sí</v>
      </c>
      <c r="J12" s="512" t="str">
        <v>Sí</v>
      </c>
      <c r="K12" s="512" t="str">
        <v>Parcial</v>
      </c>
      <c r="L12" s="512" t="str">
        <v>No</v>
      </c>
      <c r="M12" s="512" t="str">
        <v>Sí</v>
      </c>
      <c r="N12" s="512" t="str">
        <v>Sí</v>
      </c>
      <c r="O12" s="512" t="str">
        <v>Sí</v>
      </c>
      <c r="P12" s="512" t="str">
        <v>No</v>
      </c>
      <c r="Q12" s="512" t="str">
        <v>Sí</v>
      </c>
      <c r="R12" s="512" t="str">
        <v>Sí</v>
      </c>
      <c r="S12" s="512" t="str">
        <v>Sí</v>
      </c>
      <c r="T12" s="512" t="str">
        <v>Parcial</v>
      </c>
      <c r="U12" s="512" t="str">
        <v>No</v>
      </c>
      <c r="V12" s="512" t="str">
        <v>Sí</v>
      </c>
      <c r="W12" s="512" t="str">
        <v>Sí</v>
      </c>
      <c r="X12" s="512" t="str">
        <v>Parcial</v>
      </c>
      <c r="Y12" s="512" t="str">
        <v>No</v>
      </c>
      <c r="Z12" s="512" t="str">
        <v>Sí</v>
      </c>
      <c r="AA12" s="512" t="str">
        <v>Sí</v>
      </c>
      <c r="AB12" s="512" t="str">
        <v>Sí</v>
      </c>
      <c r="AC12" s="512" t="str">
        <v>No</v>
      </c>
      <c r="AD12" s="512" t="str">
        <v>Sí</v>
      </c>
      <c r="AE12" s="512" t="str">
        <v>Sí</v>
      </c>
      <c r="AF12" s="512" t="str">
        <v>Sí</v>
      </c>
      <c r="AG12" s="512" t="str">
        <v>Parcial</v>
      </c>
      <c r="AH12" s="512" t="str">
        <v>No</v>
      </c>
      <c r="AI12" s="208" t="n">
        <f>COUNTIF(D12:AH12,"Sí")</f>
        <v>19</v>
      </c>
      <c r="AJ12" s="208" t="n">
        <f>COUNTIF(D12:AH12,"Parcial")</f>
        <v>5</v>
      </c>
      <c r="AK12" s="208" t="n">
        <f>COUNTIF(D12:AH12,"No")</f>
        <v>7</v>
      </c>
      <c r="AL12" s="248" t="n">
        <f>IFERROR((AI12+0.5*AJ12)/'Configuracion'!E11,0)</f>
        <v>1.7916666666666667</v>
      </c>
      <c r="AM12" s="488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/>
      <c r="AZ12" s="183"/>
    </row>
    <row r="13" ht="24" hidden="0" customHeight="1">
      <c r="A13" s="207" t="str">
        <f>IF('Configuracion'!B12="","","H08")</f>
        <v>H08</v>
      </c>
      <c r="B13" s="208" t="str">
        <f>IF('Configuracion'!B12="","",'Configuracion'!B12)</f>
        <v>Comida saludable</v>
      </c>
      <c r="C13" s="208" t="str">
        <f>IF('Configuracion'!C12="","",'Configuracion'!C12)</f>
        <v>Alimentación</v>
      </c>
      <c r="D13" s="512" t="str">
        <v>Sí</v>
      </c>
      <c r="E13" s="512" t="str">
        <v>No</v>
      </c>
      <c r="F13" s="512" t="str">
        <v>Sí</v>
      </c>
      <c r="G13" s="512" t="str">
        <v>Sí</v>
      </c>
      <c r="H13" s="512" t="str">
        <v>Sí</v>
      </c>
      <c r="I13" s="512" t="str">
        <v>Parcial</v>
      </c>
      <c r="J13" s="512" t="str">
        <v>No</v>
      </c>
      <c r="K13" s="512" t="str">
        <v>Sí</v>
      </c>
      <c r="L13" s="512" t="str">
        <v>Sí</v>
      </c>
      <c r="M13" s="512" t="str">
        <v>Parcial</v>
      </c>
      <c r="N13" s="512" t="str">
        <v>No</v>
      </c>
      <c r="O13" s="512" t="str">
        <v>Sí</v>
      </c>
      <c r="P13" s="512" t="str">
        <v>Sí</v>
      </c>
      <c r="Q13" s="512" t="str">
        <v>Sí</v>
      </c>
      <c r="R13" s="512" t="str">
        <v>No</v>
      </c>
      <c r="S13" s="512" t="str">
        <v>Sí</v>
      </c>
      <c r="T13" s="512" t="str">
        <v>Sí</v>
      </c>
      <c r="U13" s="512" t="str">
        <v>Sí</v>
      </c>
      <c r="V13" s="512" t="str">
        <v>Parcial</v>
      </c>
      <c r="W13" s="512" t="str">
        <v>No</v>
      </c>
      <c r="X13" s="512" t="str">
        <v>Sí</v>
      </c>
      <c r="Y13" s="512" t="str">
        <v>Sí</v>
      </c>
      <c r="Z13" s="512" t="str">
        <v>Parcial</v>
      </c>
      <c r="AA13" s="512" t="str">
        <v>No</v>
      </c>
      <c r="AB13" s="512" t="str">
        <v>Sí</v>
      </c>
      <c r="AC13" s="512" t="str">
        <v>Sí</v>
      </c>
      <c r="AD13" s="512" t="str">
        <v>Sí</v>
      </c>
      <c r="AE13" s="512" t="str">
        <v>No</v>
      </c>
      <c r="AF13" s="512" t="str">
        <v>Sí</v>
      </c>
      <c r="AG13" s="512" t="str">
        <v>Sí</v>
      </c>
      <c r="AH13" s="512" t="str">
        <v>Sí</v>
      </c>
      <c r="AI13" s="208" t="n">
        <f>COUNTIF(D13:AH13,"Sí")</f>
        <v>20</v>
      </c>
      <c r="AJ13" s="208" t="n">
        <f>COUNTIF(D13:AH13,"Parcial")</f>
        <v>4</v>
      </c>
      <c r="AK13" s="208" t="n">
        <f>COUNTIF(D13:AH13,"No")</f>
        <v>7</v>
      </c>
      <c r="AL13" s="248" t="n">
        <f>IFERROR((AI13+0.5*AJ13)/'Configuracion'!E12,0)</f>
        <v>0.9166666666666666</v>
      </c>
      <c r="AM13" s="488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</row>
    <row r="14" ht="24" hidden="0" customHeight="1">
      <c r="A14" s="207" t="str">
        <f>IF('Configuracion'!B13="","","H09")</f>
        <v>H09</v>
      </c>
      <c r="B14" s="208" t="str">
        <f>IF('Configuracion'!B13="","",'Configuracion'!B13)</f>
        <v>Meditar / orar</v>
      </c>
      <c r="C14" s="208" t="str">
        <f>IF('Configuracion'!C13="","",'Configuracion'!C13)</f>
        <v>Espiritualidad</v>
      </c>
      <c r="D14" s="512" t="str">
        <v>Sí</v>
      </c>
      <c r="E14" s="512" t="str">
        <v>Sí</v>
      </c>
      <c r="F14" s="512" t="str">
        <v>Sí</v>
      </c>
      <c r="G14" s="512" t="str">
        <v>No</v>
      </c>
      <c r="H14" s="512" t="str">
        <v>Sí</v>
      </c>
      <c r="I14" s="512" t="str">
        <v>Sí</v>
      </c>
      <c r="J14" s="512" t="str">
        <v>Sí</v>
      </c>
      <c r="K14" s="512" t="str">
        <v>Parcial</v>
      </c>
      <c r="L14" s="512" t="str">
        <v>No</v>
      </c>
      <c r="M14" s="512" t="str">
        <v>Sí</v>
      </c>
      <c r="N14" s="512" t="str">
        <v>Sí</v>
      </c>
      <c r="O14" s="512" t="str">
        <v>Parcial</v>
      </c>
      <c r="P14" s="512" t="str">
        <v>No</v>
      </c>
      <c r="Q14" s="512" t="str">
        <v>Sí</v>
      </c>
      <c r="R14" s="512" t="str">
        <v>Sí</v>
      </c>
      <c r="S14" s="512" t="str">
        <v>Sí</v>
      </c>
      <c r="T14" s="512" t="str">
        <v>No</v>
      </c>
      <c r="U14" s="512" t="str">
        <v>Sí</v>
      </c>
      <c r="V14" s="512" t="str">
        <v>Sí</v>
      </c>
      <c r="W14" s="512" t="str">
        <v>Sí</v>
      </c>
      <c r="X14" s="512" t="str">
        <v>Parcial</v>
      </c>
      <c r="Y14" s="512" t="str">
        <v>No</v>
      </c>
      <c r="Z14" s="512" t="str">
        <v>Sí</v>
      </c>
      <c r="AA14" s="512" t="str">
        <v>Sí</v>
      </c>
      <c r="AB14" s="512" t="str">
        <v>Parcial</v>
      </c>
      <c r="AC14" s="512" t="str">
        <v>No</v>
      </c>
      <c r="AD14" s="512" t="str">
        <v>Sí</v>
      </c>
      <c r="AE14" s="512" t="str">
        <v>Sí</v>
      </c>
      <c r="AF14" s="512" t="str">
        <v>Sí</v>
      </c>
      <c r="AG14" s="512" t="str">
        <v>No</v>
      </c>
      <c r="AH14" s="512" t="str">
        <v>Sí</v>
      </c>
      <c r="AI14" s="208" t="n">
        <f>COUNTIF(D14:AH14,"Sí")</f>
        <v>20</v>
      </c>
      <c r="AJ14" s="208" t="n">
        <f>COUNTIF(D14:AH14,"Parcial")</f>
        <v>4</v>
      </c>
      <c r="AK14" s="208" t="n">
        <f>COUNTIF(D14:AH14,"No")</f>
        <v>7</v>
      </c>
      <c r="AL14" s="248" t="n">
        <f>IFERROR((AI14+0.5*AJ14)/'Configuracion'!E13,0)</f>
        <v>1.1</v>
      </c>
      <c r="AM14" s="488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</row>
    <row r="15" ht="24" hidden="0" customHeight="1">
      <c r="A15" s="207" t="str">
        <f>IF('Configuracion'!B14="","","H10")</f>
        <v>H10</v>
      </c>
      <c r="B15" s="208" t="str">
        <f>IF('Configuracion'!B14="","",'Configuracion'!B14)</f>
        <v>Ordenar escritorio</v>
      </c>
      <c r="C15" s="208" t="str">
        <f>IF('Configuracion'!C14="","",'Configuracion'!C14)</f>
        <v>Trabajo</v>
      </c>
      <c r="D15" s="512" t="str">
        <v>Parcial</v>
      </c>
      <c r="E15" s="512" t="str">
        <v>No</v>
      </c>
      <c r="F15" s="512" t="str">
        <v>Sí</v>
      </c>
      <c r="G15" s="512" t="str">
        <v>Sí</v>
      </c>
      <c r="H15" s="512" t="str">
        <v>Sí</v>
      </c>
      <c r="I15" s="512" t="str">
        <v>No</v>
      </c>
      <c r="J15" s="512" t="str">
        <v>Sí</v>
      </c>
      <c r="K15" s="512" t="str">
        <v>Sí</v>
      </c>
      <c r="L15" s="512" t="str">
        <v>Sí</v>
      </c>
      <c r="M15" s="512" t="str">
        <v>Parcial</v>
      </c>
      <c r="N15" s="512" t="str">
        <v>No</v>
      </c>
      <c r="O15" s="512" t="str">
        <v>Sí</v>
      </c>
      <c r="P15" s="512" t="str">
        <v>Sí</v>
      </c>
      <c r="Q15" s="512" t="str">
        <v>Parcial</v>
      </c>
      <c r="R15" s="512" t="str">
        <v>No</v>
      </c>
      <c r="S15" s="512" t="str">
        <v>Sí</v>
      </c>
      <c r="T15" s="512" t="str">
        <v>Sí</v>
      </c>
      <c r="U15" s="512" t="str">
        <v>Sí</v>
      </c>
      <c r="V15" s="512" t="str">
        <v>No</v>
      </c>
      <c r="W15" s="512" t="str">
        <v>Sí</v>
      </c>
      <c r="X15" s="512" t="str">
        <v>Sí</v>
      </c>
      <c r="Y15" s="512" t="str">
        <v>Sí</v>
      </c>
      <c r="Z15" s="512" t="str">
        <v>Parcial</v>
      </c>
      <c r="AA15" s="512" t="str">
        <v>No</v>
      </c>
      <c r="AB15" s="512" t="str">
        <v>Sí</v>
      </c>
      <c r="AC15" s="512" t="str">
        <v>Sí</v>
      </c>
      <c r="AD15" s="512" t="str">
        <v>Parcial</v>
      </c>
      <c r="AE15" s="512" t="str">
        <v>No</v>
      </c>
      <c r="AF15" s="512" t="str">
        <v>Sí</v>
      </c>
      <c r="AG15" s="512" t="str">
        <v>Sí</v>
      </c>
      <c r="AH15" s="512" t="str">
        <v>Sí</v>
      </c>
      <c r="AI15" s="208" t="n">
        <f>COUNTIF(D15:AH15,"Sí")</f>
        <v>19</v>
      </c>
      <c r="AJ15" s="208" t="n">
        <f>COUNTIF(D15:AH15,"Parcial")</f>
        <v>5</v>
      </c>
      <c r="AK15" s="208" t="n">
        <f>COUNTIF(D15:AH15,"No")</f>
        <v>7</v>
      </c>
      <c r="AL15" s="248" t="n">
        <f>IFERROR((AI15+0.5*AJ15)/'Configuracion'!E14,0)</f>
        <v>1.1944444444444444</v>
      </c>
      <c r="AM15" s="488"/>
      <c r="AN15" s="183"/>
      <c r="AO15" s="183"/>
      <c r="AP15" s="183"/>
      <c r="AQ15" s="183"/>
      <c r="AR15" s="183"/>
      <c r="AS15" s="183"/>
      <c r="AT15" s="183"/>
      <c r="AU15" s="183"/>
      <c r="AV15" s="183"/>
      <c r="AW15" s="183"/>
      <c r="AX15" s="183"/>
      <c r="AY15" s="183"/>
      <c r="AZ15" s="183"/>
    </row>
    <row r="16" ht="15" hidden="0" customHeight="1">
      <c r="A16" s="207" t="str">
        <f>IF('Configuracion'!B15="","","H11")</f>
      </c>
      <c r="B16" s="208" t="str">
        <f>IF('Configuracion'!B15="","",'Configuracion'!B15)</f>
      </c>
      <c r="C16" s="208" t="str">
        <f>IF('Configuracion'!C15="","",'Configuracion'!C15)</f>
      </c>
      <c r="D16" s="512" t="str"/>
      <c r="E16" s="512" t="str"/>
      <c r="F16" s="512" t="str"/>
      <c r="G16" s="512" t="str"/>
      <c r="H16" s="512" t="str"/>
      <c r="I16" s="512" t="str"/>
      <c r="J16" s="512" t="str"/>
      <c r="K16" s="512" t="str"/>
      <c r="L16" s="512" t="str"/>
      <c r="M16" s="512" t="str"/>
      <c r="N16" s="512" t="str"/>
      <c r="O16" s="512" t="str"/>
      <c r="P16" s="512" t="str"/>
      <c r="Q16" s="512" t="str"/>
      <c r="R16" s="512" t="str"/>
      <c r="S16" s="512" t="str"/>
      <c r="T16" s="512" t="str"/>
      <c r="U16" s="512" t="str"/>
      <c r="V16" s="512" t="str"/>
      <c r="W16" s="512" t="str"/>
      <c r="X16" s="512" t="str"/>
      <c r="Y16" s="512" t="str"/>
      <c r="Z16" s="512" t="str"/>
      <c r="AA16" s="512" t="str"/>
      <c r="AB16" s="512" t="str"/>
      <c r="AC16" s="512" t="str"/>
      <c r="AD16" s="512" t="str"/>
      <c r="AE16" s="512" t="str"/>
      <c r="AF16" s="512" t="str"/>
      <c r="AG16" s="512" t="str"/>
      <c r="AH16" s="512" t="str"/>
      <c r="AI16" s="208" t="n">
        <f>COUNTIF(D16:AH16,"Sí")</f>
        <v>0</v>
      </c>
      <c r="AJ16" s="208" t="n">
        <f>COUNTIF(D16:AH16,"Parcial")</f>
        <v>0</v>
      </c>
      <c r="AK16" s="208" t="n">
        <f>COUNTIF(D16:AH16,"No")</f>
        <v>0</v>
      </c>
      <c r="AL16" s="248" t="n">
        <f>IFERROR((AI16+0.5*AJ16)/'Configuracion'!E15,0)</f>
        <v>0</v>
      </c>
      <c r="AM16" s="488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</row>
    <row r="17" ht="15" hidden="0" customHeight="1">
      <c r="A17" s="207" t="str">
        <f>IF('Configuracion'!B16="","","H12")</f>
      </c>
      <c r="B17" s="208" t="str">
        <f>IF('Configuracion'!B16="","",'Configuracion'!B16)</f>
      </c>
      <c r="C17" s="208" t="str">
        <f>IF('Configuracion'!C16="","",'Configuracion'!C16)</f>
      </c>
      <c r="D17" s="512" t="str"/>
      <c r="E17" s="512" t="str"/>
      <c r="F17" s="512" t="str"/>
      <c r="G17" s="512" t="str"/>
      <c r="H17" s="512" t="str"/>
      <c r="I17" s="512" t="str"/>
      <c r="J17" s="512" t="str"/>
      <c r="K17" s="512" t="str"/>
      <c r="L17" s="512" t="str"/>
      <c r="M17" s="512" t="str"/>
      <c r="N17" s="512" t="str"/>
      <c r="O17" s="512" t="str"/>
      <c r="P17" s="512" t="str"/>
      <c r="Q17" s="512" t="str"/>
      <c r="R17" s="512" t="str"/>
      <c r="S17" s="512" t="str"/>
      <c r="T17" s="512" t="str"/>
      <c r="U17" s="512" t="str"/>
      <c r="V17" s="512" t="str"/>
      <c r="W17" s="512" t="str"/>
      <c r="X17" s="512" t="str"/>
      <c r="Y17" s="512" t="str"/>
      <c r="Z17" s="512" t="str"/>
      <c r="AA17" s="512" t="str"/>
      <c r="AB17" s="512" t="str"/>
      <c r="AC17" s="512" t="str"/>
      <c r="AD17" s="512" t="str"/>
      <c r="AE17" s="512" t="str"/>
      <c r="AF17" s="512" t="str"/>
      <c r="AG17" s="512" t="str"/>
      <c r="AH17" s="512" t="str"/>
      <c r="AI17" s="208" t="n">
        <f>COUNTIF(D17:AH17,"Sí")</f>
        <v>0</v>
      </c>
      <c r="AJ17" s="208" t="n">
        <f>COUNTIF(D17:AH17,"Parcial")</f>
        <v>0</v>
      </c>
      <c r="AK17" s="208" t="n">
        <f>COUNTIF(D17:AH17,"No")</f>
        <v>0</v>
      </c>
      <c r="AL17" s="248" t="n">
        <f>IFERROR((AI17+0.5*AJ17)/'Configuracion'!E16,0)</f>
        <v>0</v>
      </c>
      <c r="AM17" s="488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</row>
    <row r="18" ht="15" hidden="0" customHeight="1">
      <c r="A18" s="207" t="str">
        <f>IF('Configuracion'!B17="","","H13")</f>
      </c>
      <c r="B18" s="208" t="str">
        <f>IF('Configuracion'!B17="","",'Configuracion'!B17)</f>
      </c>
      <c r="C18" s="208" t="str">
        <f>IF('Configuracion'!C17="","",'Configuracion'!C17)</f>
      </c>
      <c r="D18" s="512" t="str"/>
      <c r="E18" s="512" t="str"/>
      <c r="F18" s="512" t="str"/>
      <c r="G18" s="512" t="str"/>
      <c r="H18" s="512" t="str"/>
      <c r="I18" s="512" t="str"/>
      <c r="J18" s="512" t="str"/>
      <c r="K18" s="512" t="str"/>
      <c r="L18" s="512" t="str"/>
      <c r="M18" s="512" t="str"/>
      <c r="N18" s="512" t="str"/>
      <c r="O18" s="512" t="str"/>
      <c r="P18" s="512" t="str"/>
      <c r="Q18" s="512" t="str"/>
      <c r="R18" s="512" t="str"/>
      <c r="S18" s="512" t="str"/>
      <c r="T18" s="512" t="str"/>
      <c r="U18" s="512" t="str"/>
      <c r="V18" s="512" t="str"/>
      <c r="W18" s="512" t="str"/>
      <c r="X18" s="512" t="str"/>
      <c r="Y18" s="512" t="str"/>
      <c r="Z18" s="512" t="str"/>
      <c r="AA18" s="512" t="str"/>
      <c r="AB18" s="512" t="str"/>
      <c r="AC18" s="512" t="str"/>
      <c r="AD18" s="512" t="str"/>
      <c r="AE18" s="512" t="str"/>
      <c r="AF18" s="512" t="str"/>
      <c r="AG18" s="512" t="str"/>
      <c r="AH18" s="512" t="str"/>
      <c r="AI18" s="208" t="n">
        <f>COUNTIF(D18:AH18,"Sí")</f>
        <v>0</v>
      </c>
      <c r="AJ18" s="208" t="n">
        <f>COUNTIF(D18:AH18,"Parcial")</f>
        <v>0</v>
      </c>
      <c r="AK18" s="208" t="n">
        <f>COUNTIF(D18:AH18,"No")</f>
        <v>0</v>
      </c>
      <c r="AL18" s="248" t="n">
        <f>IFERROR((AI18+0.5*AJ18)/'Configuracion'!E17,0)</f>
        <v>0</v>
      </c>
      <c r="AM18" s="488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</row>
    <row r="19" ht="15" hidden="0" customHeight="1">
      <c r="A19" s="207" t="str">
        <f>IF('Configuracion'!B18="","","H14")</f>
      </c>
      <c r="B19" s="208" t="str">
        <f>IF('Configuracion'!B18="","",'Configuracion'!B18)</f>
      </c>
      <c r="C19" s="208" t="str">
        <f>IF('Configuracion'!C18="","",'Configuracion'!C18)</f>
      </c>
      <c r="D19" s="512" t="str"/>
      <c r="E19" s="512" t="str"/>
      <c r="F19" s="512" t="str"/>
      <c r="G19" s="512" t="str"/>
      <c r="H19" s="512" t="str"/>
      <c r="I19" s="512" t="str"/>
      <c r="J19" s="512" t="str"/>
      <c r="K19" s="512" t="str"/>
      <c r="L19" s="512" t="str"/>
      <c r="M19" s="512" t="str"/>
      <c r="N19" s="512" t="str"/>
      <c r="O19" s="512" t="str"/>
      <c r="P19" s="512" t="str"/>
      <c r="Q19" s="512" t="str"/>
      <c r="R19" s="512" t="str"/>
      <c r="S19" s="512" t="str"/>
      <c r="T19" s="512" t="str"/>
      <c r="U19" s="512" t="str"/>
      <c r="V19" s="512" t="str"/>
      <c r="W19" s="512" t="str"/>
      <c r="X19" s="512" t="str"/>
      <c r="Y19" s="512" t="str"/>
      <c r="Z19" s="512" t="str"/>
      <c r="AA19" s="512" t="str"/>
      <c r="AB19" s="512" t="str"/>
      <c r="AC19" s="512" t="str"/>
      <c r="AD19" s="512" t="str"/>
      <c r="AE19" s="512" t="str"/>
      <c r="AF19" s="512" t="str"/>
      <c r="AG19" s="512" t="str"/>
      <c r="AH19" s="512" t="str"/>
      <c r="AI19" s="208" t="n">
        <f>COUNTIF(D19:AH19,"Sí")</f>
        <v>0</v>
      </c>
      <c r="AJ19" s="208" t="n">
        <f>COUNTIF(D19:AH19,"Parcial")</f>
        <v>0</v>
      </c>
      <c r="AK19" s="208" t="n">
        <f>COUNTIF(D19:AH19,"No")</f>
        <v>0</v>
      </c>
      <c r="AL19" s="248" t="n">
        <f>IFERROR((AI19+0.5*AJ19)/'Configuracion'!E18,0)</f>
        <v>0</v>
      </c>
      <c r="AM19" s="488"/>
      <c r="AN19" s="183"/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</row>
    <row r="20" ht="15" hidden="0" customHeight="1">
      <c r="A20" s="207" t="str">
        <f>IF('Configuracion'!B19="","","H15")</f>
      </c>
      <c r="B20" s="208" t="str">
        <f>IF('Configuracion'!B19="","",'Configuracion'!B19)</f>
      </c>
      <c r="C20" s="208" t="str">
        <f>IF('Configuracion'!C19="","",'Configuracion'!C19)</f>
      </c>
      <c r="D20" s="512" t="str"/>
      <c r="E20" s="512" t="str"/>
      <c r="F20" s="512" t="str"/>
      <c r="G20" s="512" t="str"/>
      <c r="H20" s="512" t="str"/>
      <c r="I20" s="512" t="str"/>
      <c r="J20" s="512" t="str"/>
      <c r="K20" s="512" t="str"/>
      <c r="L20" s="512" t="str"/>
      <c r="M20" s="512" t="str"/>
      <c r="N20" s="512" t="str"/>
      <c r="O20" s="512" t="str"/>
      <c r="P20" s="512" t="str"/>
      <c r="Q20" s="512" t="str"/>
      <c r="R20" s="512" t="str"/>
      <c r="S20" s="512" t="str"/>
      <c r="T20" s="512" t="str"/>
      <c r="U20" s="512" t="str"/>
      <c r="V20" s="512" t="str"/>
      <c r="W20" s="512" t="str"/>
      <c r="X20" s="512" t="str"/>
      <c r="Y20" s="512" t="str"/>
      <c r="Z20" s="512" t="str"/>
      <c r="AA20" s="512" t="str"/>
      <c r="AB20" s="512" t="str"/>
      <c r="AC20" s="512" t="str"/>
      <c r="AD20" s="512" t="str"/>
      <c r="AE20" s="512" t="str"/>
      <c r="AF20" s="512" t="str"/>
      <c r="AG20" s="512" t="str"/>
      <c r="AH20" s="512" t="str"/>
      <c r="AI20" s="208" t="n">
        <f>COUNTIF(D20:AH20,"Sí")</f>
        <v>0</v>
      </c>
      <c r="AJ20" s="208" t="n">
        <f>COUNTIF(D20:AH20,"Parcial")</f>
        <v>0</v>
      </c>
      <c r="AK20" s="208" t="n">
        <f>COUNTIF(D20:AH20,"No")</f>
        <v>0</v>
      </c>
      <c r="AL20" s="248" t="n">
        <f>IFERROR((AI20+0.5*AJ20)/'Configuracion'!E19,0)</f>
        <v>0</v>
      </c>
      <c r="AM20" s="488"/>
      <c r="AN20" s="183"/>
      <c r="AO20" s="183"/>
      <c r="AP20" s="183"/>
      <c r="AQ20" s="183"/>
      <c r="AR20" s="183"/>
      <c r="AS20" s="183"/>
      <c r="AT20" s="183"/>
      <c r="AU20" s="183"/>
      <c r="AV20" s="183"/>
      <c r="AW20" s="183"/>
      <c r="AX20" s="183"/>
      <c r="AY20" s="183"/>
      <c r="AZ20" s="183"/>
    </row>
    <row r="21" ht="15" hidden="0" customHeight="1">
      <c r="A21" s="207" t="str">
        <f>IF('Configuracion'!B20="","","H16")</f>
      </c>
      <c r="B21" s="208" t="str">
        <f>IF('Configuracion'!B20="","",'Configuracion'!B20)</f>
      </c>
      <c r="C21" s="208" t="str">
        <f>IF('Configuracion'!C20="","",'Configuracion'!C20)</f>
      </c>
      <c r="D21" s="512" t="str"/>
      <c r="E21" s="512" t="str"/>
      <c r="F21" s="512" t="str"/>
      <c r="G21" s="512" t="str"/>
      <c r="H21" s="512" t="str"/>
      <c r="I21" s="512" t="str"/>
      <c r="J21" s="512" t="str"/>
      <c r="K21" s="512" t="str"/>
      <c r="L21" s="512" t="str"/>
      <c r="M21" s="512" t="str"/>
      <c r="N21" s="512" t="str"/>
      <c r="O21" s="512" t="str"/>
      <c r="P21" s="512" t="str"/>
      <c r="Q21" s="512" t="str"/>
      <c r="R21" s="512" t="str"/>
      <c r="S21" s="512" t="str"/>
      <c r="T21" s="512" t="str"/>
      <c r="U21" s="512" t="str"/>
      <c r="V21" s="512" t="str"/>
      <c r="W21" s="512" t="str"/>
      <c r="X21" s="512" t="str"/>
      <c r="Y21" s="512" t="str"/>
      <c r="Z21" s="512" t="str"/>
      <c r="AA21" s="512" t="str"/>
      <c r="AB21" s="512" t="str"/>
      <c r="AC21" s="512" t="str"/>
      <c r="AD21" s="512" t="str"/>
      <c r="AE21" s="512" t="str"/>
      <c r="AF21" s="512" t="str"/>
      <c r="AG21" s="512" t="str"/>
      <c r="AH21" s="512" t="str"/>
      <c r="AI21" s="208" t="n">
        <f>COUNTIF(D21:AH21,"Sí")</f>
        <v>0</v>
      </c>
      <c r="AJ21" s="208" t="n">
        <f>COUNTIF(D21:AH21,"Parcial")</f>
        <v>0</v>
      </c>
      <c r="AK21" s="208" t="n">
        <f>COUNTIF(D21:AH21,"No")</f>
        <v>0</v>
      </c>
      <c r="AL21" s="248" t="n">
        <f>IFERROR((AI21+0.5*AJ21)/'Configuracion'!E20,0)</f>
        <v>0</v>
      </c>
      <c r="AM21" s="488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</row>
    <row r="22" ht="15" hidden="0" customHeight="1">
      <c r="A22" s="207" t="str">
        <f>IF('Configuracion'!B21="","","H17")</f>
      </c>
      <c r="B22" s="208" t="str">
        <f>IF('Configuracion'!B21="","",'Configuracion'!B21)</f>
      </c>
      <c r="C22" s="208" t="str">
        <f>IF('Configuracion'!C21="","",'Configuracion'!C21)</f>
      </c>
      <c r="D22" s="512" t="str"/>
      <c r="E22" s="512" t="str"/>
      <c r="F22" s="512" t="str"/>
      <c r="G22" s="512" t="str"/>
      <c r="H22" s="512" t="str"/>
      <c r="I22" s="512" t="str"/>
      <c r="J22" s="512" t="str"/>
      <c r="K22" s="512" t="str"/>
      <c r="L22" s="512" t="str"/>
      <c r="M22" s="512" t="str"/>
      <c r="N22" s="512" t="str"/>
      <c r="O22" s="512" t="str"/>
      <c r="P22" s="512" t="str"/>
      <c r="Q22" s="512" t="str"/>
      <c r="R22" s="512" t="str"/>
      <c r="S22" s="512" t="str"/>
      <c r="T22" s="512" t="str"/>
      <c r="U22" s="512" t="str"/>
      <c r="V22" s="512" t="str"/>
      <c r="W22" s="512" t="str"/>
      <c r="X22" s="512" t="str"/>
      <c r="Y22" s="512" t="str"/>
      <c r="Z22" s="512" t="str"/>
      <c r="AA22" s="512" t="str"/>
      <c r="AB22" s="512" t="str"/>
      <c r="AC22" s="512" t="str"/>
      <c r="AD22" s="512" t="str"/>
      <c r="AE22" s="512" t="str"/>
      <c r="AF22" s="512" t="str"/>
      <c r="AG22" s="512" t="str"/>
      <c r="AH22" s="512" t="str"/>
      <c r="AI22" s="208" t="n">
        <f>COUNTIF(D22:AH22,"Sí")</f>
        <v>0</v>
      </c>
      <c r="AJ22" s="208" t="n">
        <f>COUNTIF(D22:AH22,"Parcial")</f>
        <v>0</v>
      </c>
      <c r="AK22" s="208" t="n">
        <f>COUNTIF(D22:AH22,"No")</f>
        <v>0</v>
      </c>
      <c r="AL22" s="248" t="n">
        <f>IFERROR((AI22+0.5*AJ22)/'Configuracion'!E21,0)</f>
        <v>0</v>
      </c>
      <c r="AM22" s="488"/>
      <c r="AN22" s="183"/>
      <c r="AO22" s="183"/>
      <c r="AP22" s="183"/>
      <c r="AQ22" s="183"/>
      <c r="AR22" s="183"/>
      <c r="AS22" s="183"/>
      <c r="AT22" s="183"/>
      <c r="AU22" s="183"/>
      <c r="AV22" s="183"/>
      <c r="AW22" s="183"/>
      <c r="AX22" s="183"/>
      <c r="AY22" s="183"/>
      <c r="AZ22" s="183"/>
    </row>
    <row r="23" ht="15" hidden="0" customHeight="1">
      <c r="A23" s="207" t="str">
        <f>IF('Configuracion'!B22="","","H18")</f>
      </c>
      <c r="B23" s="208" t="str">
        <f>IF('Configuracion'!B22="","",'Configuracion'!B22)</f>
      </c>
      <c r="C23" s="208" t="str">
        <f>IF('Configuracion'!C22="","",'Configuracion'!C22)</f>
      </c>
      <c r="D23" s="512" t="str"/>
      <c r="E23" s="512" t="str"/>
      <c r="F23" s="512" t="str"/>
      <c r="G23" s="512" t="str"/>
      <c r="H23" s="512" t="str"/>
      <c r="I23" s="512" t="str"/>
      <c r="J23" s="512" t="str"/>
      <c r="K23" s="512" t="str"/>
      <c r="L23" s="512" t="str"/>
      <c r="M23" s="512" t="str"/>
      <c r="N23" s="512" t="str"/>
      <c r="O23" s="512" t="str"/>
      <c r="P23" s="512" t="str"/>
      <c r="Q23" s="512" t="str"/>
      <c r="R23" s="512" t="str"/>
      <c r="S23" s="512" t="str"/>
      <c r="T23" s="512" t="str"/>
      <c r="U23" s="512" t="str"/>
      <c r="V23" s="512" t="str"/>
      <c r="W23" s="512" t="str"/>
      <c r="X23" s="512" t="str"/>
      <c r="Y23" s="512" t="str"/>
      <c r="Z23" s="512" t="str"/>
      <c r="AA23" s="512" t="str"/>
      <c r="AB23" s="512" t="str"/>
      <c r="AC23" s="512" t="str"/>
      <c r="AD23" s="512" t="str"/>
      <c r="AE23" s="512" t="str"/>
      <c r="AF23" s="512" t="str"/>
      <c r="AG23" s="512" t="str"/>
      <c r="AH23" s="512" t="str"/>
      <c r="AI23" s="208" t="n">
        <f>COUNTIF(D23:AH23,"Sí")</f>
        <v>0</v>
      </c>
      <c r="AJ23" s="208" t="n">
        <f>COUNTIF(D23:AH23,"Parcial")</f>
        <v>0</v>
      </c>
      <c r="AK23" s="208" t="n">
        <f>COUNTIF(D23:AH23,"No")</f>
        <v>0</v>
      </c>
      <c r="AL23" s="248" t="n">
        <f>IFERROR((AI23+0.5*AJ23)/'Configuracion'!E22,0)</f>
        <v>0</v>
      </c>
      <c r="AM23" s="488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83"/>
    </row>
    <row r="24" ht="15" hidden="0" customHeight="1">
      <c r="A24" s="207" t="str">
        <f>IF('Configuracion'!B23="","","H19")</f>
      </c>
      <c r="B24" s="208" t="str">
        <f>IF('Configuracion'!B23="","",'Configuracion'!B23)</f>
      </c>
      <c r="C24" s="208" t="str">
        <f>IF('Configuracion'!C23="","",'Configuracion'!C23)</f>
      </c>
      <c r="D24" s="512" t="str"/>
      <c r="E24" s="512" t="str"/>
      <c r="F24" s="512" t="str"/>
      <c r="G24" s="512" t="str"/>
      <c r="H24" s="512" t="str"/>
      <c r="I24" s="512" t="str"/>
      <c r="J24" s="512" t="str"/>
      <c r="K24" s="512" t="str"/>
      <c r="L24" s="512" t="str"/>
      <c r="M24" s="512" t="str"/>
      <c r="N24" s="512" t="str"/>
      <c r="O24" s="512" t="str"/>
      <c r="P24" s="512" t="str"/>
      <c r="Q24" s="512" t="str"/>
      <c r="R24" s="512" t="str"/>
      <c r="S24" s="512" t="str"/>
      <c r="T24" s="512" t="str"/>
      <c r="U24" s="512" t="str"/>
      <c r="V24" s="512" t="str"/>
      <c r="W24" s="512" t="str"/>
      <c r="X24" s="512" t="str"/>
      <c r="Y24" s="512" t="str"/>
      <c r="Z24" s="512" t="str"/>
      <c r="AA24" s="512" t="str"/>
      <c r="AB24" s="512" t="str"/>
      <c r="AC24" s="512" t="str"/>
      <c r="AD24" s="512" t="str"/>
      <c r="AE24" s="512" t="str"/>
      <c r="AF24" s="512" t="str"/>
      <c r="AG24" s="512" t="str"/>
      <c r="AH24" s="512" t="str"/>
      <c r="AI24" s="208" t="n">
        <f>COUNTIF(D24:AH24,"Sí")</f>
        <v>0</v>
      </c>
      <c r="AJ24" s="208" t="n">
        <f>COUNTIF(D24:AH24,"Parcial")</f>
        <v>0</v>
      </c>
      <c r="AK24" s="208" t="n">
        <f>COUNTIF(D24:AH24,"No")</f>
        <v>0</v>
      </c>
      <c r="AL24" s="248" t="n">
        <f>IFERROR((AI24+0.5*AJ24)/'Configuracion'!E23,0)</f>
        <v>0</v>
      </c>
      <c r="AM24" s="488"/>
      <c r="AN24" s="183"/>
      <c r="AO24" s="183"/>
      <c r="AP24" s="183"/>
      <c r="AQ24" s="183"/>
      <c r="AR24" s="183"/>
      <c r="AS24" s="183"/>
      <c r="AT24" s="183"/>
      <c r="AU24" s="183"/>
      <c r="AV24" s="183"/>
      <c r="AW24" s="183"/>
      <c r="AX24" s="183"/>
      <c r="AY24" s="183"/>
      <c r="AZ24" s="183"/>
    </row>
    <row r="25" ht="15" hidden="0" customHeight="1">
      <c r="A25" s="210" t="str">
        <f>IF('Configuracion'!B24="","","H20")</f>
      </c>
      <c r="B25" s="211" t="str">
        <f>IF('Configuracion'!B24="","",'Configuracion'!B24)</f>
      </c>
      <c r="C25" s="211" t="str">
        <f>IF('Configuracion'!C24="","",'Configuracion'!C24)</f>
      </c>
      <c r="D25" s="514" t="str"/>
      <c r="E25" s="514" t="str"/>
      <c r="F25" s="514" t="str"/>
      <c r="G25" s="514" t="str"/>
      <c r="H25" s="514" t="str"/>
      <c r="I25" s="514" t="str"/>
      <c r="J25" s="514" t="str"/>
      <c r="K25" s="514" t="str"/>
      <c r="L25" s="514" t="str"/>
      <c r="M25" s="514" t="str"/>
      <c r="N25" s="514" t="str"/>
      <c r="O25" s="514" t="str"/>
      <c r="P25" s="514" t="str"/>
      <c r="Q25" s="514" t="str"/>
      <c r="R25" s="514" t="str"/>
      <c r="S25" s="514" t="str"/>
      <c r="T25" s="514" t="str"/>
      <c r="U25" s="514" t="str"/>
      <c r="V25" s="514" t="str"/>
      <c r="W25" s="514" t="str"/>
      <c r="X25" s="514" t="str"/>
      <c r="Y25" s="514" t="str"/>
      <c r="Z25" s="514" t="str"/>
      <c r="AA25" s="514" t="str"/>
      <c r="AB25" s="514" t="str"/>
      <c r="AC25" s="514" t="str"/>
      <c r="AD25" s="514" t="str"/>
      <c r="AE25" s="514" t="str"/>
      <c r="AF25" s="514" t="str"/>
      <c r="AG25" s="514" t="str"/>
      <c r="AH25" s="514" t="str"/>
      <c r="AI25" s="211" t="n">
        <f>COUNTIF(D25:AH25,"Sí")</f>
        <v>0</v>
      </c>
      <c r="AJ25" s="211" t="n">
        <f>COUNTIF(D25:AH25,"Parcial")</f>
        <v>0</v>
      </c>
      <c r="AK25" s="211" t="n">
        <f>COUNTIF(D25:AH25,"No")</f>
        <v>0</v>
      </c>
      <c r="AL25" s="250" t="n">
        <f>IFERROR((AI25+0.5*AJ25)/'Configuracion'!E24,0)</f>
        <v>0</v>
      </c>
      <c r="AM25" s="489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</row>
    <row r="26" ht="15" hidden="0" customHeight="1">
      <c r="A26" s="183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  <c r="AS26" s="183"/>
      <c r="AT26" s="183"/>
      <c r="AU26" s="183"/>
      <c r="AV26" s="183"/>
      <c r="AW26" s="183"/>
      <c r="AX26" s="183"/>
      <c r="AY26" s="183"/>
      <c r="AZ26" s="183"/>
    </row>
    <row r="27" ht="15" hidden="0" customHeight="1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3"/>
      <c r="AX27" s="183"/>
      <c r="AY27" s="183"/>
      <c r="AZ27" s="183"/>
    </row>
    <row r="28" ht="15" hidden="0" customHeight="1">
      <c r="A28" s="183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213" t="str">
        <v>Daily Notes / Datos complementarios</v>
      </c>
      <c r="AJ28" s="214" t="str">
        <v>Daily Notes / Datos complementarios</v>
      </c>
      <c r="AK28" s="214" t="str">
        <v>Daily Notes / Datos complementarios</v>
      </c>
      <c r="AL28" s="214" t="str">
        <v>Daily Notes / Datos complementarios</v>
      </c>
      <c r="AM28" s="214" t="str">
        <v>Daily Notes / Datos complementarios</v>
      </c>
      <c r="AN28" s="214" t="str">
        <v>Daily Notes / Datos complementarios</v>
      </c>
      <c r="AO28" s="215" t="str">
        <v>Daily Notes / Datos complementarios</v>
      </c>
      <c r="AP28" s="183"/>
      <c r="AQ28" s="183"/>
      <c r="AR28" s="183"/>
      <c r="AS28" s="183"/>
      <c r="AT28" s="183"/>
      <c r="AU28" s="183"/>
      <c r="AV28" s="183"/>
      <c r="AW28" s="183"/>
      <c r="AX28" s="183"/>
      <c r="AY28" s="183"/>
      <c r="AZ28" s="183"/>
    </row>
    <row r="29" ht="15" hidden="0" customHeight="1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251" t="str">
        <v>Día</v>
      </c>
      <c r="AJ29" s="252" t="str">
        <v>Fecha</v>
      </c>
      <c r="AK29" s="252" t="str">
        <v>Ánimo</v>
      </c>
      <c r="AL29" s="252" t="str">
        <v>Energía</v>
      </c>
      <c r="AM29" s="252" t="str">
        <v>Sueño</v>
      </c>
      <c r="AN29" s="252" t="str">
        <v>Productividad</v>
      </c>
      <c r="AO29" s="253" t="str">
        <v>Notas</v>
      </c>
      <c r="AP29" s="183"/>
      <c r="AQ29" s="183"/>
      <c r="AR29" s="183"/>
      <c r="AS29" s="183"/>
      <c r="AT29" s="183"/>
      <c r="AU29" s="183"/>
      <c r="AV29" s="183"/>
      <c r="AW29" s="183"/>
      <c r="AX29" s="183"/>
      <c r="AY29" s="183"/>
      <c r="AZ29" s="183"/>
    </row>
    <row r="30" ht="15" hidden="0" customHeight="1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204" t="n">
        <v>1</v>
      </c>
      <c r="AJ30" s="254" t="n">
        <f>DATE($D$3,$B$3,AI30)</f>
        <v>46023</v>
      </c>
      <c r="AK30" s="470" t="str">
        <v>Bien</v>
      </c>
      <c r="AL30" s="470" t="n">
        <v>4</v>
      </c>
      <c r="AM30" s="470" t="n">
        <v>7</v>
      </c>
      <c r="AN30" s="470" t="n">
        <v>4</v>
      </c>
      <c r="AO30" s="487" t="str"/>
      <c r="AP30" s="183"/>
      <c r="AQ30" s="183"/>
      <c r="AR30" s="183"/>
      <c r="AS30" s="183"/>
      <c r="AT30" s="183"/>
      <c r="AU30" s="183"/>
      <c r="AV30" s="183"/>
      <c r="AW30" s="183"/>
      <c r="AX30" s="183"/>
      <c r="AY30" s="183"/>
      <c r="AZ30" s="183"/>
    </row>
    <row r="31" ht="15" hidden="0" customHeight="1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207" t="n">
        <v>2</v>
      </c>
      <c r="AJ31" s="255" t="n">
        <f>DATE($D$3,$B$3,AI31)</f>
        <v>46024</v>
      </c>
      <c r="AK31" s="473" t="str"/>
      <c r="AL31" s="473" t="str"/>
      <c r="AM31" s="473" t="str"/>
      <c r="AN31" s="473" t="str"/>
      <c r="AO31" s="488" t="str"/>
      <c r="AP31" s="183"/>
      <c r="AQ31" s="183"/>
      <c r="AR31" s="183"/>
      <c r="AS31" s="183"/>
      <c r="AT31" s="183"/>
      <c r="AU31" s="183"/>
      <c r="AV31" s="183"/>
      <c r="AW31" s="183"/>
      <c r="AX31" s="183"/>
      <c r="AY31" s="183"/>
      <c r="AZ31" s="183"/>
    </row>
    <row r="32" ht="15" hidden="0" customHeight="1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207" t="n">
        <v>3</v>
      </c>
      <c r="AJ32" s="255" t="n">
        <f>DATE($D$3,$B$3,AI32)</f>
        <v>46025</v>
      </c>
      <c r="AK32" s="473" t="str"/>
      <c r="AL32" s="473" t="str"/>
      <c r="AM32" s="473" t="str"/>
      <c r="AN32" s="473" t="str"/>
      <c r="AO32" s="488" t="str"/>
      <c r="AP32" s="183"/>
      <c r="AQ32" s="183"/>
      <c r="AR32" s="183"/>
      <c r="AS32" s="183"/>
      <c r="AT32" s="183"/>
      <c r="AU32" s="183"/>
      <c r="AV32" s="183"/>
      <c r="AW32" s="183"/>
      <c r="AX32" s="183"/>
      <c r="AY32" s="183"/>
      <c r="AZ32" s="183"/>
    </row>
    <row r="33" ht="15" hidden="0" customHeight="1">
      <c r="A33" s="183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207" t="n">
        <v>4</v>
      </c>
      <c r="AJ33" s="255" t="n">
        <f>DATE($D$3,$B$3,AI33)</f>
        <v>46026</v>
      </c>
      <c r="AK33" s="473" t="str"/>
      <c r="AL33" s="473" t="str"/>
      <c r="AM33" s="473" t="n">
        <v>7</v>
      </c>
      <c r="AN33" s="473" t="str"/>
      <c r="AO33" s="488" t="str"/>
      <c r="AP33" s="183"/>
      <c r="AQ33" s="183"/>
      <c r="AR33" s="183"/>
      <c r="AS33" s="183"/>
      <c r="AT33" s="183"/>
      <c r="AU33" s="183"/>
      <c r="AV33" s="183"/>
      <c r="AW33" s="183"/>
      <c r="AX33" s="183"/>
      <c r="AY33" s="183"/>
      <c r="AZ33" s="183"/>
    </row>
    <row r="34" ht="15" hidden="0" customHeight="1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207" t="n">
        <v>5</v>
      </c>
      <c r="AJ34" s="255" t="n">
        <f>DATE($D$3,$B$3,AI34)</f>
        <v>46027</v>
      </c>
      <c r="AK34" s="473" t="str"/>
      <c r="AL34" s="473" t="n">
        <v>4</v>
      </c>
      <c r="AM34" s="473" t="str"/>
      <c r="AN34" s="473" t="n">
        <v>4</v>
      </c>
      <c r="AO34" s="488" t="str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3"/>
    </row>
    <row r="35" ht="15" hidden="0" customHeight="1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207" t="n">
        <v>6</v>
      </c>
      <c r="AJ35" s="255" t="n">
        <f>DATE($D$3,$B$3,AI35)</f>
        <v>46028</v>
      </c>
      <c r="AK35" s="473" t="str">
        <v>Bien</v>
      </c>
      <c r="AL35" s="473" t="str"/>
      <c r="AM35" s="473" t="str"/>
      <c r="AN35" s="473" t="str"/>
      <c r="AO35" s="488" t="str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</row>
    <row r="36" ht="15" hidden="0" customHeight="1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207" t="n">
        <v>7</v>
      </c>
      <c r="AJ36" s="255" t="n">
        <f>DATE($D$3,$B$3,AI36)</f>
        <v>46029</v>
      </c>
      <c r="AK36" s="473" t="str"/>
      <c r="AL36" s="473" t="str"/>
      <c r="AM36" s="473" t="n">
        <v>7</v>
      </c>
      <c r="AN36" s="473" t="str"/>
      <c r="AO36" s="488" t="str"/>
      <c r="AP36" s="183"/>
      <c r="AQ36" s="183"/>
      <c r="AR36" s="183"/>
      <c r="AS36" s="183"/>
      <c r="AT36" s="183"/>
      <c r="AU36" s="183"/>
      <c r="AV36" s="183"/>
      <c r="AW36" s="183"/>
      <c r="AX36" s="183"/>
      <c r="AY36" s="183"/>
      <c r="AZ36" s="183"/>
    </row>
    <row r="37" ht="15" hidden="0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207" t="n">
        <v>8</v>
      </c>
      <c r="AJ37" s="255" t="n">
        <f>DATE($D$3,$B$3,AI37)</f>
        <v>46030</v>
      </c>
      <c r="AK37" s="473" t="str"/>
      <c r="AL37" s="473" t="str"/>
      <c r="AM37" s="473" t="str"/>
      <c r="AN37" s="473" t="str"/>
      <c r="AO37" s="488" t="str"/>
      <c r="AP37" s="183"/>
      <c r="AQ37" s="183"/>
      <c r="AR37" s="183"/>
      <c r="AS37" s="183"/>
      <c r="AT37" s="183"/>
      <c r="AU37" s="183"/>
      <c r="AV37" s="183"/>
      <c r="AW37" s="183"/>
      <c r="AX37" s="183"/>
      <c r="AY37" s="183"/>
      <c r="AZ37" s="183"/>
    </row>
    <row r="38" ht="15" hidden="0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207" t="n">
        <v>9</v>
      </c>
      <c r="AJ38" s="255" t="n">
        <f>DATE($D$3,$B$3,AI38)</f>
        <v>46031</v>
      </c>
      <c r="AK38" s="473" t="str"/>
      <c r="AL38" s="473" t="n">
        <v>4</v>
      </c>
      <c r="AM38" s="473" t="str"/>
      <c r="AN38" s="473" t="n">
        <v>4</v>
      </c>
      <c r="AO38" s="488" t="str"/>
      <c r="AP38" s="183"/>
      <c r="AQ38" s="183"/>
      <c r="AR38" s="183"/>
      <c r="AS38" s="183"/>
      <c r="AT38" s="183"/>
      <c r="AU38" s="183"/>
      <c r="AV38" s="183"/>
      <c r="AW38" s="183"/>
      <c r="AX38" s="183"/>
      <c r="AY38" s="183"/>
      <c r="AZ38" s="183"/>
    </row>
    <row r="39" ht="15" hidden="0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207" t="n">
        <v>10</v>
      </c>
      <c r="AJ39" s="255" t="n">
        <f>DATE($D$3,$B$3,AI39)</f>
        <v>46032</v>
      </c>
      <c r="AK39" s="473" t="str"/>
      <c r="AL39" s="473" t="str"/>
      <c r="AM39" s="473" t="n">
        <v>7</v>
      </c>
      <c r="AN39" s="473" t="str"/>
      <c r="AO39" s="488" t="str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</row>
    <row r="40" ht="15" hidden="0" customHeight="1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207" t="n">
        <v>11</v>
      </c>
      <c r="AJ40" s="255" t="n">
        <f>DATE($D$3,$B$3,AI40)</f>
        <v>46033</v>
      </c>
      <c r="AK40" s="473" t="str">
        <v>Bien</v>
      </c>
      <c r="AL40" s="473" t="str"/>
      <c r="AM40" s="473" t="str"/>
      <c r="AN40" s="473" t="str"/>
      <c r="AO40" s="488" t="str"/>
      <c r="AP40" s="183"/>
      <c r="AQ40" s="183"/>
      <c r="AR40" s="183"/>
      <c r="AS40" s="183"/>
      <c r="AT40" s="183"/>
      <c r="AU40" s="183"/>
      <c r="AV40" s="183"/>
      <c r="AW40" s="183"/>
      <c r="AX40" s="183"/>
      <c r="AY40" s="183"/>
      <c r="AZ40" s="183"/>
    </row>
    <row r="41" ht="15" hidden="0" customHeight="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207" t="n">
        <v>12</v>
      </c>
      <c r="AJ41" s="255" t="n">
        <f>DATE($D$3,$B$3,AI41)</f>
        <v>46034</v>
      </c>
      <c r="AK41" s="473" t="str"/>
      <c r="AL41" s="473" t="str"/>
      <c r="AM41" s="473" t="str"/>
      <c r="AN41" s="473" t="str"/>
      <c r="AO41" s="488" t="str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</row>
    <row r="42" ht="15" hidden="0" customHeight="1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207" t="n">
        <v>13</v>
      </c>
      <c r="AJ42" s="255" t="n">
        <f>DATE($D$3,$B$3,AI42)</f>
        <v>46035</v>
      </c>
      <c r="AK42" s="473" t="str"/>
      <c r="AL42" s="473" t="n">
        <v>4</v>
      </c>
      <c r="AM42" s="473" t="n">
        <v>7</v>
      </c>
      <c r="AN42" s="473" t="n">
        <v>4</v>
      </c>
      <c r="AO42" s="488" t="str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</row>
    <row r="43" ht="15" hidden="0" customHeight="1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207" t="n">
        <v>14</v>
      </c>
      <c r="AJ43" s="255" t="n">
        <f>DATE($D$3,$B$3,AI43)</f>
        <v>46036</v>
      </c>
      <c r="AK43" s="473" t="str"/>
      <c r="AL43" s="473" t="str"/>
      <c r="AM43" s="473" t="str"/>
      <c r="AN43" s="473" t="str"/>
      <c r="AO43" s="488" t="str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</row>
    <row r="44" ht="15" hidden="0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207" t="n">
        <v>15</v>
      </c>
      <c r="AJ44" s="255" t="n">
        <f>DATE($D$3,$B$3,AI44)</f>
        <v>46037</v>
      </c>
      <c r="AK44" s="473" t="str"/>
      <c r="AL44" s="473" t="str"/>
      <c r="AM44" s="473" t="str"/>
      <c r="AN44" s="473" t="str"/>
      <c r="AO44" s="488" t="str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</row>
    <row r="45" ht="15" hidden="0" customHeight="1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207" t="n">
        <v>16</v>
      </c>
      <c r="AJ45" s="255" t="n">
        <f>DATE($D$3,$B$3,AI45)</f>
        <v>46038</v>
      </c>
      <c r="AK45" s="473" t="str">
        <v>Bien</v>
      </c>
      <c r="AL45" s="473" t="str"/>
      <c r="AM45" s="473" t="n">
        <v>7</v>
      </c>
      <c r="AN45" s="473" t="str"/>
      <c r="AO45" s="488" t="str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</row>
    <row r="46" ht="15" hidden="0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207" t="n">
        <v>17</v>
      </c>
      <c r="AJ46" s="255" t="n">
        <f>DATE($D$3,$B$3,AI46)</f>
        <v>46039</v>
      </c>
      <c r="AK46" s="473" t="str"/>
      <c r="AL46" s="473" t="n">
        <v>4</v>
      </c>
      <c r="AM46" s="473" t="str"/>
      <c r="AN46" s="473" t="n">
        <v>4</v>
      </c>
      <c r="AO46" s="488" t="str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</row>
    <row r="47" ht="15" hidden="0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207" t="n">
        <v>18</v>
      </c>
      <c r="AJ47" s="255" t="n">
        <f>DATE($D$3,$B$3,AI47)</f>
        <v>46040</v>
      </c>
      <c r="AK47" s="473" t="str"/>
      <c r="AL47" s="473" t="str"/>
      <c r="AM47" s="473" t="str"/>
      <c r="AN47" s="473" t="str"/>
      <c r="AO47" s="488" t="str"/>
      <c r="AP47" s="183"/>
      <c r="AQ47" s="183"/>
      <c r="AR47" s="183"/>
      <c r="AS47" s="183"/>
      <c r="AT47" s="183"/>
      <c r="AU47" s="183"/>
      <c r="AV47" s="183"/>
      <c r="AW47" s="183"/>
      <c r="AX47" s="183"/>
      <c r="AY47" s="183"/>
      <c r="AZ47" s="183"/>
    </row>
    <row r="48" ht="15" hidden="0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207" t="n">
        <v>19</v>
      </c>
      <c r="AJ48" s="255" t="n">
        <f>DATE($D$3,$B$3,AI48)</f>
        <v>46041</v>
      </c>
      <c r="AK48" s="473" t="str"/>
      <c r="AL48" s="473" t="str"/>
      <c r="AM48" s="473" t="n">
        <v>7</v>
      </c>
      <c r="AN48" s="473" t="str"/>
      <c r="AO48" s="488" t="str"/>
      <c r="AP48" s="183"/>
      <c r="AQ48" s="183"/>
      <c r="AR48" s="183"/>
      <c r="AS48" s="183"/>
      <c r="AT48" s="183"/>
      <c r="AU48" s="183"/>
      <c r="AV48" s="183"/>
      <c r="AW48" s="183"/>
      <c r="AX48" s="183"/>
      <c r="AY48" s="183"/>
      <c r="AZ48" s="183"/>
    </row>
    <row r="49" ht="15" hidden="0" customHeight="1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207" t="n">
        <v>20</v>
      </c>
      <c r="AJ49" s="255" t="n">
        <f>DATE($D$3,$B$3,AI49)</f>
        <v>46042</v>
      </c>
      <c r="AK49" s="473" t="str"/>
      <c r="AL49" s="473" t="str"/>
      <c r="AM49" s="473" t="str"/>
      <c r="AN49" s="473" t="str"/>
      <c r="AO49" s="488" t="str"/>
      <c r="AP49" s="183"/>
      <c r="AQ49" s="183"/>
      <c r="AR49" s="183"/>
      <c r="AS49" s="183"/>
      <c r="AT49" s="183"/>
      <c r="AU49" s="183"/>
      <c r="AV49" s="183"/>
      <c r="AW49" s="183"/>
      <c r="AX49" s="183"/>
      <c r="AY49" s="183"/>
      <c r="AZ49" s="183"/>
    </row>
    <row r="50" ht="15" hidden="0" customHeight="1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207" t="n">
        <v>21</v>
      </c>
      <c r="AJ50" s="255" t="n">
        <f>DATE($D$3,$B$3,AI50)</f>
        <v>46043</v>
      </c>
      <c r="AK50" s="473" t="str">
        <v>Bien</v>
      </c>
      <c r="AL50" s="473" t="n">
        <v>4</v>
      </c>
      <c r="AM50" s="473" t="str"/>
      <c r="AN50" s="473" t="n">
        <v>4</v>
      </c>
      <c r="AO50" s="488" t="str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</row>
    <row r="51" ht="15" hidden="0" customHeight="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207" t="n">
        <v>22</v>
      </c>
      <c r="AJ51" s="255" t="n">
        <f>DATE($D$3,$B$3,AI51)</f>
        <v>46044</v>
      </c>
      <c r="AK51" s="473" t="str"/>
      <c r="AL51" s="473" t="str"/>
      <c r="AM51" s="473" t="n">
        <v>7</v>
      </c>
      <c r="AN51" s="473" t="str"/>
      <c r="AO51" s="488" t="str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</row>
    <row r="52" ht="15" hidden="0" customHeight="1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207" t="n">
        <v>23</v>
      </c>
      <c r="AJ52" s="255" t="n">
        <f>DATE($D$3,$B$3,AI52)</f>
        <v>46045</v>
      </c>
      <c r="AK52" s="473" t="str"/>
      <c r="AL52" s="473" t="str"/>
      <c r="AM52" s="473" t="str"/>
      <c r="AN52" s="473" t="str"/>
      <c r="AO52" s="488" t="str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</row>
    <row r="53" ht="15" hidden="0" customHeight="1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207" t="n">
        <v>24</v>
      </c>
      <c r="AJ53" s="255" t="n">
        <f>DATE($D$3,$B$3,AI53)</f>
        <v>46046</v>
      </c>
      <c r="AK53" s="473" t="str"/>
      <c r="AL53" s="473" t="str"/>
      <c r="AM53" s="473" t="str"/>
      <c r="AN53" s="473" t="str"/>
      <c r="AO53" s="488" t="str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</row>
    <row r="54" ht="15" hidden="0" customHeight="1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207" t="n">
        <v>25</v>
      </c>
      <c r="AJ54" s="255" t="n">
        <f>DATE($D$3,$B$3,AI54)</f>
        <v>46047</v>
      </c>
      <c r="AK54" s="473" t="str"/>
      <c r="AL54" s="473" t="n">
        <v>4</v>
      </c>
      <c r="AM54" s="473" t="n">
        <v>7</v>
      </c>
      <c r="AN54" s="473" t="n">
        <v>4</v>
      </c>
      <c r="AO54" s="488" t="str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</row>
    <row r="55" ht="15" hidden="0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207" t="n">
        <v>26</v>
      </c>
      <c r="AJ55" s="255" t="n">
        <f>DATE($D$3,$B$3,AI55)</f>
        <v>46048</v>
      </c>
      <c r="AK55" s="473" t="str">
        <v>Bien</v>
      </c>
      <c r="AL55" s="473" t="str"/>
      <c r="AM55" s="473" t="str"/>
      <c r="AN55" s="473" t="str"/>
      <c r="AO55" s="488" t="str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</row>
    <row r="56" ht="15" hidden="0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207" t="n">
        <v>27</v>
      </c>
      <c r="AJ56" s="255" t="n">
        <f>DATE($D$3,$B$3,AI56)</f>
        <v>46049</v>
      </c>
      <c r="AK56" s="473" t="str"/>
      <c r="AL56" s="473" t="str"/>
      <c r="AM56" s="473" t="str"/>
      <c r="AN56" s="473" t="str"/>
      <c r="AO56" s="488" t="str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</row>
    <row r="57" ht="15" hidden="0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207" t="n">
        <v>28</v>
      </c>
      <c r="AJ57" s="255" t="n">
        <f>DATE($D$3,$B$3,AI57)</f>
        <v>46050</v>
      </c>
      <c r="AK57" s="473" t="str"/>
      <c r="AL57" s="473" t="str"/>
      <c r="AM57" s="473" t="n">
        <v>7</v>
      </c>
      <c r="AN57" s="473" t="str"/>
      <c r="AO57" s="488" t="str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</row>
    <row r="58" ht="15" hidden="0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207" t="n">
        <v>29</v>
      </c>
      <c r="AJ58" s="255" t="n">
        <f>DATE($D$3,$B$3,AI58)</f>
        <v>46051</v>
      </c>
      <c r="AK58" s="473" t="str"/>
      <c r="AL58" s="473" t="n">
        <v>4</v>
      </c>
      <c r="AM58" s="473" t="str"/>
      <c r="AN58" s="473" t="n">
        <v>4</v>
      </c>
      <c r="AO58" s="488" t="str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</row>
    <row r="59" ht="15" hidden="0" customHeight="1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207" t="n">
        <v>30</v>
      </c>
      <c r="AJ59" s="255" t="n">
        <f>DATE($D$3,$B$3,AI59)</f>
        <v>46052</v>
      </c>
      <c r="AK59" s="473" t="str"/>
      <c r="AL59" s="473" t="str"/>
      <c r="AM59" s="473" t="str"/>
      <c r="AN59" s="473" t="str"/>
      <c r="AO59" s="488" t="str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</row>
    <row r="60" ht="15" hidden="0" customHeight="1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210" t="n">
        <v>31</v>
      </c>
      <c r="AJ60" s="256" t="n">
        <f>DATE($D$3,$B$3,AI60)</f>
        <v>46053</v>
      </c>
      <c r="AK60" s="476" t="str">
        <v>Bien</v>
      </c>
      <c r="AL60" s="476" t="str"/>
      <c r="AM60" s="476" t="n">
        <v>7</v>
      </c>
      <c r="AN60" s="476" t="str"/>
      <c r="AO60" s="489" t="str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</row>
    <row r="61" ht="15" hidden="0" customHeight="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</row>
    <row r="62" ht="15" hidden="0" customHeight="1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</row>
    <row r="63" ht="15" hidden="0" customHeight="1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</row>
    <row r="64" ht="15" hidden="0" customHeight="1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</row>
    <row r="65" ht="15" hidden="0" customHeight="1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</row>
    <row r="66" ht="15" hidden="0" customHeight="1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</row>
    <row r="67" ht="15" hidden="0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</row>
    <row r="68" ht="15" hidden="0" customHeight="1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</row>
    <row r="69" ht="15" hidden="0" customHeight="1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</row>
    <row r="70" ht="15" hidden="0" customHeight="1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</row>
    <row r="71" ht="15" hidden="0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</row>
    <row r="72" ht="15" hidden="0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</row>
    <row r="73" ht="15" hidden="0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</row>
    <row r="74" ht="15" hidden="0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</row>
    <row r="75" ht="15" hidden="0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</row>
    <row r="76" ht="15" hidden="0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</row>
    <row r="77" ht="15" hidden="0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</row>
    <row r="78" ht="15" hidden="0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</row>
    <row r="79" ht="15" hidden="0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</row>
    <row r="80" ht="15" hidden="0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</row>
    <row r="81" ht="15" hidden="0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</row>
    <row r="82" ht="15" hidden="0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</row>
    <row r="83" ht="15" hidden="0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</row>
    <row r="84" ht="15" hidden="0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</row>
    <row r="85" ht="15" hidden="0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</row>
    <row r="86" ht="15" hidden="0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3"/>
      <c r="AO86" s="183"/>
      <c r="AP86" s="183"/>
      <c r="AQ86" s="183"/>
      <c r="AR86" s="183"/>
      <c r="AS86" s="183"/>
      <c r="AT86" s="183"/>
      <c r="AU86" s="183"/>
      <c r="AV86" s="183"/>
      <c r="AW86" s="183"/>
      <c r="AX86" s="183"/>
      <c r="AY86" s="183"/>
      <c r="AZ86" s="183"/>
    </row>
    <row r="87" ht="15" hidden="0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Q87" s="183"/>
      <c r="AR87" s="183"/>
      <c r="AS87" s="183"/>
      <c r="AT87" s="183"/>
      <c r="AU87" s="183"/>
      <c r="AV87" s="183"/>
      <c r="AW87" s="183"/>
      <c r="AX87" s="183"/>
      <c r="AY87" s="183"/>
      <c r="AZ87" s="183"/>
    </row>
    <row r="88" ht="15" hidden="0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  <c r="AS88" s="183"/>
      <c r="AT88" s="183"/>
      <c r="AU88" s="183"/>
      <c r="AV88" s="183"/>
      <c r="AW88" s="183"/>
      <c r="AX88" s="183"/>
      <c r="AY88" s="183"/>
      <c r="AZ88" s="183"/>
    </row>
    <row r="89" ht="15" hidden="0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  <c r="AS89" s="183"/>
      <c r="AT89" s="183"/>
      <c r="AU89" s="183"/>
      <c r="AV89" s="183"/>
      <c r="AW89" s="183"/>
      <c r="AX89" s="183"/>
      <c r="AY89" s="183"/>
      <c r="AZ89" s="183"/>
    </row>
    <row r="90" ht="15" hidden="0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  <c r="AP90" s="183"/>
      <c r="AQ90" s="183"/>
      <c r="AR90" s="183"/>
      <c r="AS90" s="183"/>
      <c r="AT90" s="183"/>
      <c r="AU90" s="183"/>
      <c r="AV90" s="183"/>
      <c r="AW90" s="183"/>
      <c r="AX90" s="183"/>
      <c r="AY90" s="183"/>
      <c r="AZ90" s="183"/>
    </row>
  </sheetData>
  <sheetProtection sheet="1" objects="1" scenarios="1"/>
  <mergeCells>
    <mergeCell ref="A1:AO2"/>
    <mergeCell ref="AI28:AO28"/>
  </mergeCells>
  <conditionalFormatting sqref="D6:AH25">
    <cfRule type="containsText" dxfId="2" priority="1" operator="containsText" text="Sí"/>
    <cfRule type="containsText" dxfId="3" priority="2" operator="containsText" text="Parcial"/>
    <cfRule type="containsText" dxfId="4" priority="3" operator="containsText" text="No"/>
  </conditionalFormatting>
  <dataValidations count="4">
    <dataValidation type="list" sqref="D6:AH25">
      <formula1>"Sí,No,Parcial"</formula1>
    </dataValidation>
    <dataValidation type="list" sqref="AK30:AK60">
      <formula1>"Excelente,Bien,Neutral,Cansado,Difícil"</formula1>
    </dataValidation>
    <dataValidation type="whole" operator="between" sqref="AL30:AL60">
      <formula1>1</formula1>
      <formula2>5</formula2>
    </dataValidation>
    <dataValidation type="whole" operator="between" sqref="AN30:AN60">
      <formula1>1</formula1>
      <formula2>5</formula2>
    </dataValidation>
  </dataValidations>
  <pageMargins left="0.7" right="0.7" top="0.75" bottom="0.75" header="0.3" footer="0.3"/>
  <tableParts count="2">
    <tablePart r:id="R6461df7a37654693"/>
    <tablePart r:id="R6a3335c41d4a40fa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18" hidden="0" customWidth="1"/>
    <col min="2" max="2" width="18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</cols>
  <sheetData>
    <row r="1" ht="15" hidden="0" customHeight="1">
      <c r="A1" s="182" t="str">
        <v>Weekly Review / Vista semanal</v>
      </c>
      <c r="B1" s="182" t="str">
        <v>Weekly Review / Vista semanal</v>
      </c>
      <c r="C1" s="182" t="str">
        <v>Weekly Review / Vista semanal</v>
      </c>
      <c r="D1" s="182" t="str">
        <v>Weekly Review / Vista semanal</v>
      </c>
      <c r="E1" s="182" t="str">
        <v>Weekly Review / Vista semanal</v>
      </c>
      <c r="F1" s="182" t="str">
        <v>Weekly Review / Vista semanal</v>
      </c>
      <c r="G1" s="182" t="str">
        <v>Weekly Review / Vista semanal</v>
      </c>
      <c r="H1" s="182" t="str">
        <v>Weekly Review / Vista semanal</v>
      </c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3"/>
      <c r="AY1" s="183"/>
      <c r="AZ1" s="183"/>
    </row>
    <row r="2" ht="15" hidden="0" customHeight="1">
      <c r="A2" s="182" t="str">
        <v>Weekly Review / Vista semanal</v>
      </c>
      <c r="B2" s="182" t="str">
        <v>Weekly Review / Vista semanal</v>
      </c>
      <c r="C2" s="182" t="str">
        <v>Weekly Review / Vista semanal</v>
      </c>
      <c r="D2" s="182" t="str">
        <v>Weekly Review / Vista semanal</v>
      </c>
      <c r="E2" s="182" t="str">
        <v>Weekly Review / Vista semanal</v>
      </c>
      <c r="F2" s="182" t="str">
        <v>Weekly Review / Vista semanal</v>
      </c>
      <c r="G2" s="182" t="str">
        <v>Weekly Review / Vista semanal</v>
      </c>
      <c r="H2" s="182" t="str">
        <v>Weekly Review / Vista semanal</v>
      </c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</row>
    <row r="3" ht="15" hidden="0" customHeight="1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</row>
    <row r="4" ht="15" hidden="0" customHeight="1">
      <c r="A4" s="183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</row>
    <row r="5" ht="15" hidden="0" customHeight="1">
      <c r="A5" s="216" t="str">
        <v>Semana</v>
      </c>
      <c r="B5" s="217" t="str">
        <v>%</v>
      </c>
      <c r="C5" s="217" t="str">
        <v>Sí</v>
      </c>
      <c r="D5" s="217" t="str">
        <v>Parcial</v>
      </c>
      <c r="E5" s="217" t="str">
        <v>No</v>
      </c>
      <c r="F5" s="217" t="str">
        <v>¿Qué funcionó?</v>
      </c>
      <c r="G5" s="217" t="str">
        <v>¿Qué puedo mejorar?</v>
      </c>
      <c r="H5" s="218" t="str">
        <v>Enfoque próximo</v>
      </c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</row>
    <row r="6" ht="15" hidden="0" customHeight="1">
      <c r="A6" s="204" t="str">
        <f>"Semana 1"</f>
        <v>Semana 1</v>
      </c>
      <c r="B6" s="246" t="n">
        <f>IFERROR((COUNTIF('Registro Diario'!D$6:J$25,"Sí")+0.5*COUNTIF('Registro Diario'!D$6:J$25,"Parcial"))/(COUNTIF('Configuracion'!$G$5:$G$24,"Sí")*COLUMNS('Registro Diario'!D$5:J$5)),0)</f>
        <v>0.6928571428571428</v>
      </c>
      <c r="C6" s="205" t="n">
        <f>COUNTIF('Registro Diario'!D$6:J$25,"Sí")</f>
        <v>44</v>
      </c>
      <c r="D6" s="205" t="n">
        <f>COUNTIF('Registro Diario'!D$6:J$25,"Parcial")</f>
        <v>9</v>
      </c>
      <c r="E6" s="205" t="n">
        <f>COUNTIF('Registro Diario'!D$6:J$25,"No")</f>
        <v>17</v>
      </c>
      <c r="F6" s="470" t="str">
        <v>Más constancia</v>
      </c>
      <c r="G6" s="470" t="str">
        <v>Dormir antes</v>
      </c>
      <c r="H6" s="487" t="str">
        <v>Agua</v>
      </c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</row>
    <row r="7" ht="15" hidden="0" customHeight="1">
      <c r="A7" s="207" t="str">
        <f>"Semana 2"</f>
        <v>Semana 2</v>
      </c>
      <c r="B7" s="248" t="n">
        <f>IFERROR((COUNTIF('Registro Diario'!K$6:Q$25,"Sí")+0.5*COUNTIF('Registro Diario'!K$6:Q$25,"Parcial"))/(COUNTIF('Configuracion'!$G$5:$G$24,"Sí")*COLUMNS('Registro Diario'!K$5:Q$5)),0)</f>
        <v>0.6857142857142857</v>
      </c>
      <c r="C7" s="208" t="n">
        <f>COUNTIF('Registro Diario'!K$6:Q$25,"Sí")</f>
        <v>42</v>
      </c>
      <c r="D7" s="208" t="n">
        <f>COUNTIF('Registro Diario'!K$6:Q$25,"Parcial")</f>
        <v>12</v>
      </c>
      <c r="E7" s="208" t="n">
        <f>COUNTIF('Registro Diario'!K$6:Q$25,"No")</f>
        <v>16</v>
      </c>
      <c r="F7" s="473" t="str">
        <v>Buen enfoque</v>
      </c>
      <c r="G7" s="473" t="str">
        <v>Menos pantallas</v>
      </c>
      <c r="H7" s="488" t="str">
        <v>Lectura</v>
      </c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</row>
    <row r="8" ht="15" hidden="0" customHeight="1">
      <c r="A8" s="207" t="str">
        <f>"Semana 3"</f>
        <v>Semana 3</v>
      </c>
      <c r="B8" s="248" t="n">
        <f>IFERROR((COUNTIF('Registro Diario'!R$6:X$25,"Sí")+0.5*COUNTIF('Registro Diario'!R$6:X$25,"Parcial"))/(COUNTIF('Configuracion'!$G$5:$G$24,"Sí")*COLUMNS('Registro Diario'!R$5:X$5)),0)</f>
        <v>0.7142857142857143</v>
      </c>
      <c r="C8" s="208" t="n">
        <f>COUNTIF('Registro Diario'!R$6:X$25,"Sí")</f>
        <v>45</v>
      </c>
      <c r="D8" s="208" t="n">
        <f>COUNTIF('Registro Diario'!R$6:X$25,"Parcial")</f>
        <v>10</v>
      </c>
      <c r="E8" s="208" t="n">
        <f>COUNTIF('Registro Diario'!R$6:X$25,"No")</f>
        <v>15</v>
      </c>
      <c r="F8" s="473" t="str">
        <v>Caminatas</v>
      </c>
      <c r="G8" s="473" t="str">
        <v>Planificar</v>
      </c>
      <c r="H8" s="488" t="str">
        <v>Sueño</v>
      </c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</row>
    <row r="9" ht="15" hidden="0" customHeight="1">
      <c r="A9" s="207" t="str">
        <f>"Semana 4"</f>
        <v>Semana 4</v>
      </c>
      <c r="B9" s="248" t="n">
        <f>IFERROR((COUNTIF('Registro Diario'!Y$6:AE$25,"Sí")+0.5*COUNTIF('Registro Diario'!Y$6:AE$25,"Parcial"))/(COUNTIF('Configuracion'!$G$5:$G$24,"Sí")*COLUMNS('Registro Diario'!Y$5:AE$5)),0)</f>
        <v>0.6714285714285714</v>
      </c>
      <c r="C9" s="208" t="n">
        <f>COUNTIF('Registro Diario'!Y$6:AE$25,"Sí")</f>
        <v>41</v>
      </c>
      <c r="D9" s="208" t="n">
        <f>COUNTIF('Registro Diario'!Y$6:AE$25,"Parcial")</f>
        <v>12</v>
      </c>
      <c r="E9" s="208" t="n">
        <f>COUNTIF('Registro Diario'!Y$6:AE$25,"No")</f>
        <v>17</v>
      </c>
      <c r="F9" s="473" t="str">
        <v>Lectura</v>
      </c>
      <c r="G9" s="473" t="str">
        <v>Orden</v>
      </c>
      <c r="H9" s="488" t="str">
        <v>Ejercicio</v>
      </c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</row>
    <row r="10" ht="15" hidden="0" customHeight="1">
      <c r="A10" s="210" t="str">
        <f>"Semana 5"</f>
        <v>Semana 5</v>
      </c>
      <c r="B10" s="250" t="n">
        <f>IFERROR((COUNTIF('Registro Diario'!AF$6:AH$25,"Sí")+0.5*COUNTIF('Registro Diario'!AF$6:AH$25,"Parcial"))/(COUNTIF('Configuracion'!$G$5:$G$24,"Sí")*COLUMNS('Registro Diario'!AF$5:AH$5)),0)</f>
        <v>0.7166666666666667</v>
      </c>
      <c r="C10" s="211" t="n">
        <f>COUNTIF('Registro Diario'!AF$6:AH$25,"Sí")</f>
        <v>20</v>
      </c>
      <c r="D10" s="211" t="n">
        <f>COUNTIF('Registro Diario'!AF$6:AH$25,"Parcial")</f>
        <v>3</v>
      </c>
      <c r="E10" s="211" t="n">
        <f>COUNTIF('Registro Diario'!AF$6:AH$25,"No")</f>
        <v>7</v>
      </c>
      <c r="F10" s="476" t="str">
        <v>Cierre mensual</v>
      </c>
      <c r="G10" s="476" t="str">
        <v>Simplificar</v>
      </c>
      <c r="H10" s="489" t="str">
        <v>Top 3</v>
      </c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3"/>
    </row>
    <row r="11" ht="15" hidden="0" customHeight="1">
      <c r="A11" s="183"/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  <c r="AY11" s="183"/>
      <c r="AZ11" s="183"/>
    </row>
    <row r="12" ht="15" hidden="0" customHeight="1">
      <c r="A12" s="183"/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/>
      <c r="AZ12" s="183"/>
    </row>
    <row r="13" ht="15" hidden="0" customHeight="1">
      <c r="A13" s="183"/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</row>
    <row r="14" ht="15" hidden="0" customHeight="1">
      <c r="A14" s="183"/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</row>
    <row r="15" ht="15" hidden="0" customHeight="1">
      <c r="A15" s="183"/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3"/>
      <c r="AX15" s="183"/>
      <c r="AY15" s="183"/>
      <c r="AZ15" s="183"/>
    </row>
    <row r="16" ht="15" hidden="0" customHeight="1">
      <c r="A16" s="183"/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</row>
    <row r="17" ht="15" hidden="0" customHeight="1">
      <c r="A17" s="183"/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</row>
    <row r="18" ht="15" hidden="0" customHeight="1">
      <c r="A18" s="183"/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</row>
    <row r="19" ht="15" hidden="0" customHeight="1">
      <c r="A19" s="183"/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</row>
    <row r="20" ht="15" hidden="0" customHeight="1">
      <c r="A20" s="183"/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183"/>
      <c r="AX20" s="183"/>
      <c r="AY20" s="183"/>
      <c r="AZ20" s="183"/>
    </row>
    <row r="21" ht="15" hidden="0" customHeight="1">
      <c r="A21" s="183"/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</row>
    <row r="22" ht="15" hidden="0" customHeight="1">
      <c r="A22" s="183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  <c r="AS22" s="183"/>
      <c r="AT22" s="183"/>
      <c r="AU22" s="183"/>
      <c r="AV22" s="183"/>
      <c r="AW22" s="183"/>
      <c r="AX22" s="183"/>
      <c r="AY22" s="183"/>
      <c r="AZ22" s="183"/>
    </row>
    <row r="23" ht="15" hidden="0" customHeight="1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83"/>
    </row>
    <row r="24" ht="15" hidden="0" customHeight="1">
      <c r="A24" s="183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  <c r="AS24" s="183"/>
      <c r="AT24" s="183"/>
      <c r="AU24" s="183"/>
      <c r="AV24" s="183"/>
      <c r="AW24" s="183"/>
      <c r="AX24" s="183"/>
      <c r="AY24" s="183"/>
      <c r="AZ24" s="183"/>
    </row>
    <row r="25" ht="15" hidden="0" customHeight="1">
      <c r="A25" s="183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</row>
    <row r="26" ht="15" hidden="0" customHeight="1">
      <c r="A26" s="183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  <c r="AS26" s="183"/>
      <c r="AT26" s="183"/>
      <c r="AU26" s="183"/>
      <c r="AV26" s="183"/>
      <c r="AW26" s="183"/>
      <c r="AX26" s="183"/>
      <c r="AY26" s="183"/>
      <c r="AZ26" s="183"/>
    </row>
    <row r="27" ht="15" hidden="0" customHeight="1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3"/>
      <c r="AX27" s="183"/>
      <c r="AY27" s="183"/>
      <c r="AZ27" s="183"/>
    </row>
    <row r="28" ht="15" hidden="0" customHeight="1">
      <c r="A28" s="183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183"/>
      <c r="AR28" s="183"/>
      <c r="AS28" s="183"/>
      <c r="AT28" s="183"/>
      <c r="AU28" s="183"/>
      <c r="AV28" s="183"/>
      <c r="AW28" s="183"/>
      <c r="AX28" s="183"/>
      <c r="AY28" s="183"/>
      <c r="AZ28" s="183"/>
    </row>
    <row r="29" ht="15" hidden="0" customHeight="1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3"/>
      <c r="AX29" s="183"/>
      <c r="AY29" s="183"/>
      <c r="AZ29" s="183"/>
    </row>
    <row r="30" ht="15" hidden="0" customHeight="1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  <c r="AU30" s="183"/>
      <c r="AV30" s="183"/>
      <c r="AW30" s="183"/>
      <c r="AX30" s="183"/>
      <c r="AY30" s="183"/>
      <c r="AZ30" s="183"/>
    </row>
    <row r="31" ht="15" hidden="0" customHeight="1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3"/>
      <c r="AX31" s="183"/>
      <c r="AY31" s="183"/>
      <c r="AZ31" s="183"/>
    </row>
    <row r="32" ht="15" hidden="0" customHeight="1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  <c r="AU32" s="183"/>
      <c r="AV32" s="183"/>
      <c r="AW32" s="183"/>
      <c r="AX32" s="183"/>
      <c r="AY32" s="183"/>
      <c r="AZ32" s="183"/>
    </row>
    <row r="33" ht="15" hidden="0" customHeight="1">
      <c r="A33" s="183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3"/>
      <c r="AX33" s="183"/>
      <c r="AY33" s="183"/>
      <c r="AZ33" s="183"/>
    </row>
    <row r="34" ht="15" hidden="0" customHeight="1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3"/>
    </row>
    <row r="35" ht="15" hidden="0" customHeight="1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</row>
    <row r="36" ht="15" hidden="0" customHeight="1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83"/>
      <c r="AY36" s="183"/>
      <c r="AZ36" s="183"/>
    </row>
    <row r="37" ht="15" hidden="0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3"/>
      <c r="AX37" s="183"/>
      <c r="AY37" s="183"/>
      <c r="AZ37" s="183"/>
    </row>
    <row r="38" ht="15" hidden="0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3"/>
      <c r="AQ38" s="183"/>
      <c r="AR38" s="183"/>
      <c r="AS38" s="183"/>
      <c r="AT38" s="183"/>
      <c r="AU38" s="183"/>
      <c r="AV38" s="183"/>
      <c r="AW38" s="183"/>
      <c r="AX38" s="183"/>
      <c r="AY38" s="183"/>
      <c r="AZ38" s="183"/>
    </row>
    <row r="39" ht="15" hidden="0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</row>
    <row r="40" ht="15" hidden="0" customHeight="1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  <c r="AO40" s="183"/>
      <c r="AP40" s="183"/>
      <c r="AQ40" s="183"/>
      <c r="AR40" s="183"/>
      <c r="AS40" s="183"/>
      <c r="AT40" s="183"/>
      <c r="AU40" s="183"/>
      <c r="AV40" s="183"/>
      <c r="AW40" s="183"/>
      <c r="AX40" s="183"/>
      <c r="AY40" s="183"/>
      <c r="AZ40" s="183"/>
    </row>
    <row r="41" ht="15" hidden="0" customHeight="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</row>
    <row r="42" ht="15" hidden="0" customHeight="1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</row>
    <row r="43" ht="15" hidden="0" customHeight="1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</row>
    <row r="44" ht="15" hidden="0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</row>
    <row r="45" ht="15" hidden="0" customHeight="1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</row>
    <row r="46" ht="15" hidden="0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</row>
    <row r="47" ht="15" hidden="0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3"/>
      <c r="AX47" s="183"/>
      <c r="AY47" s="183"/>
      <c r="AZ47" s="183"/>
    </row>
    <row r="48" ht="15" hidden="0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  <c r="AS48" s="183"/>
      <c r="AT48" s="183"/>
      <c r="AU48" s="183"/>
      <c r="AV48" s="183"/>
      <c r="AW48" s="183"/>
      <c r="AX48" s="183"/>
      <c r="AY48" s="183"/>
      <c r="AZ48" s="183"/>
    </row>
    <row r="49" ht="15" hidden="0" customHeight="1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  <c r="AY49" s="183"/>
      <c r="AZ49" s="183"/>
    </row>
    <row r="50" ht="15" hidden="0" customHeight="1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</row>
    <row r="51" ht="15" hidden="0" customHeight="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</row>
    <row r="52" ht="15" hidden="0" customHeight="1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</row>
    <row r="53" ht="15" hidden="0" customHeight="1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</row>
    <row r="54" ht="15" hidden="0" customHeight="1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</row>
    <row r="55" ht="15" hidden="0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</row>
    <row r="56" ht="15" hidden="0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</row>
    <row r="57" ht="15" hidden="0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</row>
    <row r="58" ht="15" hidden="0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</row>
    <row r="59" ht="15" hidden="0" customHeight="1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</row>
    <row r="60" ht="15" hidden="0" customHeight="1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</row>
    <row r="61" ht="15" hidden="0" customHeight="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</row>
    <row r="62" ht="15" hidden="0" customHeight="1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</row>
    <row r="63" ht="15" hidden="0" customHeight="1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</row>
    <row r="64" ht="15" hidden="0" customHeight="1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</row>
    <row r="65" ht="15" hidden="0" customHeight="1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</row>
    <row r="66" ht="15" hidden="0" customHeight="1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</row>
    <row r="67" ht="15" hidden="0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</row>
    <row r="68" ht="15" hidden="0" customHeight="1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</row>
    <row r="69" ht="15" hidden="0" customHeight="1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</row>
    <row r="70" ht="15" hidden="0" customHeight="1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</row>
    <row r="71" ht="15" hidden="0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</row>
    <row r="72" ht="15" hidden="0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</row>
    <row r="73" ht="15" hidden="0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</row>
    <row r="74" ht="15" hidden="0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</row>
    <row r="75" ht="15" hidden="0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</row>
    <row r="76" ht="15" hidden="0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</row>
    <row r="77" ht="15" hidden="0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</row>
    <row r="78" ht="15" hidden="0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</row>
    <row r="79" ht="15" hidden="0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</row>
    <row r="80" ht="15" hidden="0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</row>
    <row r="81" ht="15" hidden="0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</row>
    <row r="82" ht="15" hidden="0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</row>
    <row r="83" ht="15" hidden="0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</row>
    <row r="84" ht="15" hidden="0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</row>
    <row r="85" ht="15" hidden="0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</row>
    <row r="86" ht="15" hidden="0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3"/>
      <c r="AO86" s="183"/>
      <c r="AP86" s="183"/>
      <c r="AQ86" s="183"/>
      <c r="AR86" s="183"/>
      <c r="AS86" s="183"/>
      <c r="AT86" s="183"/>
      <c r="AU86" s="183"/>
      <c r="AV86" s="183"/>
      <c r="AW86" s="183"/>
      <c r="AX86" s="183"/>
      <c r="AY86" s="183"/>
      <c r="AZ86" s="183"/>
    </row>
    <row r="87" ht="15" hidden="0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Q87" s="183"/>
      <c r="AR87" s="183"/>
      <c r="AS87" s="183"/>
      <c r="AT87" s="183"/>
      <c r="AU87" s="183"/>
      <c r="AV87" s="183"/>
      <c r="AW87" s="183"/>
      <c r="AX87" s="183"/>
      <c r="AY87" s="183"/>
      <c r="AZ87" s="183"/>
    </row>
    <row r="88" ht="15" hidden="0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  <c r="AS88" s="183"/>
      <c r="AT88" s="183"/>
      <c r="AU88" s="183"/>
      <c r="AV88" s="183"/>
      <c r="AW88" s="183"/>
      <c r="AX88" s="183"/>
      <c r="AY88" s="183"/>
      <c r="AZ88" s="183"/>
    </row>
    <row r="89" ht="15" hidden="0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  <c r="AS89" s="183"/>
      <c r="AT89" s="183"/>
      <c r="AU89" s="183"/>
      <c r="AV89" s="183"/>
      <c r="AW89" s="183"/>
      <c r="AX89" s="183"/>
      <c r="AY89" s="183"/>
      <c r="AZ89" s="183"/>
    </row>
    <row r="90" ht="15" hidden="0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  <c r="AP90" s="183"/>
      <c r="AQ90" s="183"/>
      <c r="AR90" s="183"/>
      <c r="AS90" s="183"/>
      <c r="AT90" s="183"/>
      <c r="AU90" s="183"/>
      <c r="AV90" s="183"/>
      <c r="AW90" s="183"/>
      <c r="AX90" s="183"/>
      <c r="AY90" s="183"/>
      <c r="AZ90" s="183"/>
    </row>
  </sheetData>
  <sheetProtection sheet="1" objects="1" scenarios="1"/>
  <mergeCells>
    <mergeCell ref="A1:H2"/>
  </mergeCells>
  <conditionalFormatting sqref="B6:B10">
    <cfRule type="colorScale" priority="1">
      <colorScale>
        <cfvo type="min"/>
        <cfvo type="percentile" val="50"/>
        <cfvo type="max"/>
        <color rgb="FFEED9D3"/>
        <color rgb="FFF3E4BC"/>
        <color rgb="FFDDE8D8"/>
      </colorScale>
    </cfRule>
  </conditionalFormatting>
  <pageMargins left="0.7" right="0.7" top="0.75" bottom="0.75" header="0.3" footer="0.3"/>
  <drawing r:id="Rbee9bc38b8734ff9"/>
  <tableParts count="1">
    <tablePart r:id="Ra230303d9e134f67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18" hidden="0" customWidth="1"/>
    <col min="2" max="2" width="18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</cols>
  <sheetData>
    <row r="1" ht="15" hidden="0" customHeight="1">
      <c r="A1" s="182" t="str">
        <v>Monthly Review / Vista mensual</v>
      </c>
      <c r="B1" s="182" t="str">
        <v>Monthly Review / Vista mensual</v>
      </c>
      <c r="C1" s="182" t="str">
        <v>Monthly Review / Vista mensual</v>
      </c>
      <c r="D1" s="182" t="str">
        <v>Monthly Review / Vista mensual</v>
      </c>
      <c r="E1" s="182" t="str">
        <v>Monthly Review / Vista mensual</v>
      </c>
      <c r="F1" s="182" t="str">
        <v>Monthly Review / Vista mensual</v>
      </c>
      <c r="G1" s="182" t="str">
        <v>Monthly Review / Vista mensual</v>
      </c>
      <c r="H1" s="182" t="str">
        <v>Monthly Review / Vista mensual</v>
      </c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3"/>
      <c r="AY1" s="183"/>
      <c r="AZ1" s="183"/>
    </row>
    <row r="2" ht="15" hidden="0" customHeight="1">
      <c r="A2" s="182" t="str">
        <v>Monthly Review / Vista mensual</v>
      </c>
      <c r="B2" s="182" t="str">
        <v>Monthly Review / Vista mensual</v>
      </c>
      <c r="C2" s="182" t="str">
        <v>Monthly Review / Vista mensual</v>
      </c>
      <c r="D2" s="182" t="str">
        <v>Monthly Review / Vista mensual</v>
      </c>
      <c r="E2" s="182" t="str">
        <v>Monthly Review / Vista mensual</v>
      </c>
      <c r="F2" s="182" t="str">
        <v>Monthly Review / Vista mensual</v>
      </c>
      <c r="G2" s="182" t="str">
        <v>Monthly Review / Vista mensual</v>
      </c>
      <c r="H2" s="182" t="str">
        <v>Monthly Review / Vista mensual</v>
      </c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</row>
    <row r="3" ht="15" hidden="0" customHeight="1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</row>
    <row r="4" ht="15" hidden="0" customHeight="1">
      <c r="A4" s="183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</row>
    <row r="5" ht="15" hidden="0" customHeight="1">
      <c r="A5" s="216" t="str">
        <v>Métrica</v>
      </c>
      <c r="B5" s="217" t="str">
        <v>Valor</v>
      </c>
      <c r="C5" s="217" t="str">
        <v>Lectura</v>
      </c>
      <c r="D5" s="217" t="str"/>
      <c r="E5" s="217" t="str">
        <v>Top 3 próximo mes</v>
      </c>
      <c r="F5" s="217" t="str">
        <v>Prioridad</v>
      </c>
      <c r="G5" s="217" t="str">
        <v>Motivo</v>
      </c>
      <c r="H5" s="218" t="str">
        <v>Primer paso</v>
      </c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</row>
    <row r="6" ht="24" hidden="0" customHeight="1">
      <c r="A6" s="204" t="str">
        <v>Cumplimiento</v>
      </c>
      <c r="B6" s="246" t="n">
        <f>'Dashboard'!A6</f>
        <v>0.9453968531468533</v>
      </c>
      <c r="C6" s="205" t="str">
        <v>Lectura automática del mes</v>
      </c>
      <c r="D6" s="205"/>
      <c r="E6" s="470" t="str">
        <v>Agua</v>
      </c>
      <c r="F6" s="470" t="str">
        <v>Alta</v>
      </c>
      <c r="G6" s="470" t="str">
        <v>Base de salud</v>
      </c>
      <c r="H6" s="487" t="str">
        <v>Preparar botella</v>
      </c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</row>
    <row r="7" ht="15" hidden="0" customHeight="1">
      <c r="A7" s="207" t="str">
        <v>Total Sí</v>
      </c>
      <c r="B7" s="248" t="n">
        <f>'Dashboard'!G6</f>
        <v>192</v>
      </c>
      <c r="C7" s="208" t="str">
        <v>Hábitos cumplidos</v>
      </c>
      <c r="D7" s="208"/>
      <c r="E7" s="473" t="str">
        <v>Sueño</v>
      </c>
      <c r="F7" s="473" t="str">
        <v>Alta</v>
      </c>
      <c r="G7" s="473" t="str">
        <v>Energía</v>
      </c>
      <c r="H7" s="488" t="str">
        <v>Rutina noche</v>
      </c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</row>
    <row r="8" ht="15" hidden="0" customHeight="1">
      <c r="A8" s="207" t="str">
        <v>Racha actual</v>
      </c>
      <c r="B8" s="248" t="n">
        <f>'Dashboard'!C6</f>
        <v>3</v>
      </c>
      <c r="C8" s="208" t="str">
        <v>Mayor racha vigente</v>
      </c>
      <c r="D8" s="208"/>
      <c r="E8" s="473" t="str">
        <v>Lectura</v>
      </c>
      <c r="F8" s="473" t="str">
        <v>Media</v>
      </c>
      <c r="G8" s="473" t="str">
        <v>Constancia</v>
      </c>
      <c r="H8" s="488" t="str">
        <v>10 páginas</v>
      </c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</row>
    <row r="9" ht="15" hidden="0" customHeight="1">
      <c r="A9" s="207" t="str">
        <v>Mejor racha</v>
      </c>
      <c r="B9" s="248" t="n">
        <f>'Dashboard'!E6</f>
        <v>31</v>
      </c>
      <c r="C9" s="208" t="str">
        <v>Mejor secuencia</v>
      </c>
      <c r="D9" s="208"/>
      <c r="E9" s="208"/>
      <c r="F9" s="208"/>
      <c r="G9" s="208"/>
      <c r="H9" s="22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</row>
    <row r="10" ht="15" hidden="0" customHeight="1">
      <c r="A10" s="207" t="str">
        <v>Promedio semanal</v>
      </c>
      <c r="B10" s="248" t="n">
        <f>'Dashboard'!I6</f>
        <v>0.6961904761904762</v>
      </c>
      <c r="C10" s="208" t="str">
        <v>Promedio por semana</v>
      </c>
      <c r="D10" s="208"/>
      <c r="E10" s="208"/>
      <c r="F10" s="208"/>
      <c r="G10" s="208"/>
      <c r="H10" s="22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3"/>
    </row>
    <row r="11" ht="15" hidden="0" customHeight="1">
      <c r="A11" s="207" t="str">
        <v>Nivel</v>
      </c>
      <c r="B11" s="208" t="str">
        <f>'Dashboard'!K6</f>
        <v>Imparable</v>
      </c>
      <c r="C11" s="208" t="str">
        <v>Insignia actual</v>
      </c>
      <c r="D11" s="208"/>
      <c r="E11" s="208"/>
      <c r="F11" s="208"/>
      <c r="G11" s="208"/>
      <c r="H11" s="22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  <c r="AY11" s="183"/>
      <c r="AZ11" s="183"/>
    </row>
    <row r="12" ht="15" hidden="0" customHeight="1">
      <c r="A12" s="207" t="str">
        <v>Semáforo</v>
      </c>
      <c r="B12" s="208" t="str">
        <f>'Dashboard'!M6</f>
        <v>Verde</v>
      </c>
      <c r="C12" s="208" t="str">
        <v>Estado general</v>
      </c>
      <c r="D12" s="208"/>
      <c r="E12" s="208"/>
      <c r="F12" s="208"/>
      <c r="G12" s="208"/>
      <c r="H12" s="22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/>
      <c r="AZ12" s="183"/>
    </row>
    <row r="13" ht="15" hidden="0" customHeight="1">
      <c r="A13" s="210" t="str">
        <v>Mes/Año</v>
      </c>
      <c r="B13" s="211" t="str">
        <f>'Registro Diario'!B3&amp;"/"&amp;'Registro Diario'!D3</f>
        <v>1/2026</v>
      </c>
      <c r="C13" s="211" t="str">
        <v>Periodo activo</v>
      </c>
      <c r="D13" s="211"/>
      <c r="E13" s="211"/>
      <c r="F13" s="211"/>
      <c r="G13" s="211"/>
      <c r="H13" s="224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</row>
    <row r="14" ht="15" hidden="0" customHeight="1">
      <c r="A14" s="183"/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</row>
    <row r="15" ht="15" hidden="0" customHeight="1">
      <c r="A15" s="183"/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3"/>
      <c r="AX15" s="183"/>
      <c r="AY15" s="183"/>
      <c r="AZ15" s="183"/>
    </row>
    <row r="16" ht="15" hidden="0" customHeight="1">
      <c r="A16" s="213" t="str">
        <v>Reflexión mensual</v>
      </c>
      <c r="B16" s="214" t="str">
        <v>Reflexión mensual</v>
      </c>
      <c r="C16" s="214" t="str">
        <v>Reflexión mensual</v>
      </c>
      <c r="D16" s="214" t="str">
        <v>Reflexión mensual</v>
      </c>
      <c r="E16" s="214" t="str">
        <v>Reflexión mensual</v>
      </c>
      <c r="F16" s="214" t="str">
        <v>Reflexión mensual</v>
      </c>
      <c r="G16" s="214" t="str">
        <v>Reflexión mensual</v>
      </c>
      <c r="H16" s="215" t="str">
        <v>Reflexión mensual</v>
      </c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</row>
    <row r="17" ht="15" hidden="0" customHeight="1">
      <c r="A17" s="469" t="str">
        <v>Logros</v>
      </c>
      <c r="B17" s="470" t="str"/>
      <c r="C17" s="470" t="str"/>
      <c r="D17" s="470" t="str"/>
      <c r="E17" s="470" t="str">
        <v>Aprendizajes</v>
      </c>
      <c r="F17" s="470" t="str"/>
      <c r="G17" s="470" t="str"/>
      <c r="H17" s="487" t="str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</row>
    <row r="18" ht="15" hidden="0" customHeight="1">
      <c r="A18" s="472" t="str">
        <v>Obstáculos</v>
      </c>
      <c r="B18" s="473" t="str"/>
      <c r="C18" s="473" t="str"/>
      <c r="D18" s="473" t="str"/>
      <c r="E18" s="473" t="str">
        <v>Ajustes</v>
      </c>
      <c r="F18" s="473" t="str"/>
      <c r="G18" s="473" t="str"/>
      <c r="H18" s="488" t="str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</row>
    <row r="19" ht="15" hidden="0" customHeight="1">
      <c r="A19" s="472" t="str">
        <v>Mantener</v>
      </c>
      <c r="B19" s="473" t="str"/>
      <c r="C19" s="473" t="str"/>
      <c r="D19" s="473" t="str"/>
      <c r="E19" s="473" t="str">
        <v>Simplificar</v>
      </c>
      <c r="F19" s="473" t="str"/>
      <c r="G19" s="473" t="str"/>
      <c r="H19" s="488" t="str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</row>
    <row r="20" ht="15" hidden="0" customHeight="1">
      <c r="A20" s="472" t="str">
        <v>Recompensa</v>
      </c>
      <c r="B20" s="473" t="str"/>
      <c r="C20" s="473" t="str"/>
      <c r="D20" s="473" t="str"/>
      <c r="E20" s="473" t="str">
        <v>Compromiso</v>
      </c>
      <c r="F20" s="473" t="str"/>
      <c r="G20" s="473" t="str"/>
      <c r="H20" s="488" t="str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183"/>
      <c r="AX20" s="183"/>
      <c r="AY20" s="183"/>
      <c r="AZ20" s="183"/>
    </row>
    <row r="21" ht="15" hidden="0" customHeight="1">
      <c r="A21" s="472" t="str">
        <v>Notas</v>
      </c>
      <c r="B21" s="473" t="str"/>
      <c r="C21" s="473" t="str"/>
      <c r="D21" s="473" t="str"/>
      <c r="E21" s="473" t="str"/>
      <c r="F21" s="473" t="str"/>
      <c r="G21" s="473" t="str"/>
      <c r="H21" s="488" t="str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</row>
    <row r="22" ht="15" hidden="0" customHeight="1">
      <c r="A22" s="475" t="str"/>
      <c r="B22" s="476" t="str"/>
      <c r="C22" s="476" t="str"/>
      <c r="D22" s="476" t="str"/>
      <c r="E22" s="476" t="str"/>
      <c r="F22" s="476" t="str"/>
      <c r="G22" s="476" t="str"/>
      <c r="H22" s="489" t="str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  <c r="AS22" s="183"/>
      <c r="AT22" s="183"/>
      <c r="AU22" s="183"/>
      <c r="AV22" s="183"/>
      <c r="AW22" s="183"/>
      <c r="AX22" s="183"/>
      <c r="AY22" s="183"/>
      <c r="AZ22" s="183"/>
    </row>
    <row r="23" ht="15" hidden="0" customHeight="1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83"/>
    </row>
    <row r="24" ht="15" hidden="0" customHeight="1">
      <c r="A24" s="183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  <c r="AS24" s="183"/>
      <c r="AT24" s="183"/>
      <c r="AU24" s="183"/>
      <c r="AV24" s="183"/>
      <c r="AW24" s="183"/>
      <c r="AX24" s="183"/>
      <c r="AY24" s="183"/>
      <c r="AZ24" s="183"/>
    </row>
    <row r="25" ht="15" hidden="0" customHeight="1">
      <c r="A25" s="183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</row>
    <row r="26" ht="15" hidden="0" customHeight="1">
      <c r="A26" s="183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  <c r="AS26" s="183"/>
      <c r="AT26" s="183"/>
      <c r="AU26" s="183"/>
      <c r="AV26" s="183"/>
      <c r="AW26" s="183"/>
      <c r="AX26" s="183"/>
      <c r="AY26" s="183"/>
      <c r="AZ26" s="183"/>
    </row>
    <row r="27" ht="15" hidden="0" customHeight="1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3"/>
      <c r="AX27" s="183"/>
      <c r="AY27" s="183"/>
      <c r="AZ27" s="183"/>
    </row>
    <row r="28" ht="15" hidden="0" customHeight="1">
      <c r="A28" s="183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183"/>
      <c r="AR28" s="183"/>
      <c r="AS28" s="183"/>
      <c r="AT28" s="183"/>
      <c r="AU28" s="183"/>
      <c r="AV28" s="183"/>
      <c r="AW28" s="183"/>
      <c r="AX28" s="183"/>
      <c r="AY28" s="183"/>
      <c r="AZ28" s="183"/>
    </row>
    <row r="29" ht="15" hidden="0" customHeight="1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3"/>
      <c r="AX29" s="183"/>
      <c r="AY29" s="183"/>
      <c r="AZ29" s="183"/>
    </row>
    <row r="30" ht="15" hidden="0" customHeight="1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  <c r="AU30" s="183"/>
      <c r="AV30" s="183"/>
      <c r="AW30" s="183"/>
      <c r="AX30" s="183"/>
      <c r="AY30" s="183"/>
      <c r="AZ30" s="183"/>
    </row>
    <row r="31" ht="15" hidden="0" customHeight="1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3"/>
      <c r="AX31" s="183"/>
      <c r="AY31" s="183"/>
      <c r="AZ31" s="183"/>
    </row>
    <row r="32" ht="15" hidden="0" customHeight="1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  <c r="AU32" s="183"/>
      <c r="AV32" s="183"/>
      <c r="AW32" s="183"/>
      <c r="AX32" s="183"/>
      <c r="AY32" s="183"/>
      <c r="AZ32" s="183"/>
    </row>
    <row r="33" ht="15" hidden="0" customHeight="1">
      <c r="A33" s="183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3"/>
      <c r="AX33" s="183"/>
      <c r="AY33" s="183"/>
      <c r="AZ33" s="183"/>
    </row>
    <row r="34" ht="15" hidden="0" customHeight="1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3"/>
    </row>
    <row r="35" ht="15" hidden="0" customHeight="1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</row>
    <row r="36" ht="15" hidden="0" customHeight="1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83"/>
      <c r="AY36" s="183"/>
      <c r="AZ36" s="183"/>
    </row>
    <row r="37" ht="15" hidden="0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3"/>
      <c r="AX37" s="183"/>
      <c r="AY37" s="183"/>
      <c r="AZ37" s="183"/>
    </row>
    <row r="38" ht="15" hidden="0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3"/>
      <c r="AQ38" s="183"/>
      <c r="AR38" s="183"/>
      <c r="AS38" s="183"/>
      <c r="AT38" s="183"/>
      <c r="AU38" s="183"/>
      <c r="AV38" s="183"/>
      <c r="AW38" s="183"/>
      <c r="AX38" s="183"/>
      <c r="AY38" s="183"/>
      <c r="AZ38" s="183"/>
    </row>
    <row r="39" ht="15" hidden="0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</row>
    <row r="40" ht="15" hidden="0" customHeight="1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  <c r="AO40" s="183"/>
      <c r="AP40" s="183"/>
      <c r="AQ40" s="183"/>
      <c r="AR40" s="183"/>
      <c r="AS40" s="183"/>
      <c r="AT40" s="183"/>
      <c r="AU40" s="183"/>
      <c r="AV40" s="183"/>
      <c r="AW40" s="183"/>
      <c r="AX40" s="183"/>
      <c r="AY40" s="183"/>
      <c r="AZ40" s="183"/>
    </row>
    <row r="41" ht="15" hidden="0" customHeight="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</row>
    <row r="42" ht="15" hidden="0" customHeight="1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</row>
    <row r="43" ht="15" hidden="0" customHeight="1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</row>
    <row r="44" ht="15" hidden="0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</row>
    <row r="45" ht="15" hidden="0" customHeight="1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</row>
    <row r="46" ht="15" hidden="0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</row>
    <row r="47" ht="15" hidden="0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3"/>
      <c r="AX47" s="183"/>
      <c r="AY47" s="183"/>
      <c r="AZ47" s="183"/>
    </row>
    <row r="48" ht="15" hidden="0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  <c r="AS48" s="183"/>
      <c r="AT48" s="183"/>
      <c r="AU48" s="183"/>
      <c r="AV48" s="183"/>
      <c r="AW48" s="183"/>
      <c r="AX48" s="183"/>
      <c r="AY48" s="183"/>
      <c r="AZ48" s="183"/>
    </row>
    <row r="49" ht="15" hidden="0" customHeight="1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  <c r="AY49" s="183"/>
      <c r="AZ49" s="183"/>
    </row>
    <row r="50" ht="15" hidden="0" customHeight="1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</row>
    <row r="51" ht="15" hidden="0" customHeight="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</row>
    <row r="52" ht="15" hidden="0" customHeight="1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</row>
    <row r="53" ht="15" hidden="0" customHeight="1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</row>
    <row r="54" ht="15" hidden="0" customHeight="1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</row>
    <row r="55" ht="15" hidden="0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</row>
    <row r="56" ht="15" hidden="0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</row>
    <row r="57" ht="15" hidden="0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</row>
    <row r="58" ht="15" hidden="0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</row>
    <row r="59" ht="15" hidden="0" customHeight="1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</row>
    <row r="60" ht="15" hidden="0" customHeight="1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</row>
    <row r="61" ht="15" hidden="0" customHeight="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</row>
    <row r="62" ht="15" hidden="0" customHeight="1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</row>
    <row r="63" ht="15" hidden="0" customHeight="1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</row>
    <row r="64" ht="15" hidden="0" customHeight="1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</row>
    <row r="65" ht="15" hidden="0" customHeight="1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</row>
    <row r="66" ht="15" hidden="0" customHeight="1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</row>
    <row r="67" ht="15" hidden="0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</row>
    <row r="68" ht="15" hidden="0" customHeight="1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</row>
    <row r="69" ht="15" hidden="0" customHeight="1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</row>
    <row r="70" ht="15" hidden="0" customHeight="1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</row>
    <row r="71" ht="15" hidden="0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</row>
    <row r="72" ht="15" hidden="0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</row>
    <row r="73" ht="15" hidden="0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</row>
    <row r="74" ht="15" hidden="0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</row>
    <row r="75" ht="15" hidden="0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</row>
    <row r="76" ht="15" hidden="0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</row>
    <row r="77" ht="15" hidden="0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</row>
    <row r="78" ht="15" hidden="0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</row>
    <row r="79" ht="15" hidden="0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</row>
    <row r="80" ht="15" hidden="0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</row>
    <row r="81" ht="15" hidden="0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</row>
    <row r="82" ht="15" hidden="0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</row>
    <row r="83" ht="15" hidden="0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</row>
    <row r="84" ht="15" hidden="0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</row>
    <row r="85" ht="15" hidden="0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</row>
    <row r="86" ht="15" hidden="0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3"/>
      <c r="AO86" s="183"/>
      <c r="AP86" s="183"/>
      <c r="AQ86" s="183"/>
      <c r="AR86" s="183"/>
      <c r="AS86" s="183"/>
      <c r="AT86" s="183"/>
      <c r="AU86" s="183"/>
      <c r="AV86" s="183"/>
      <c r="AW86" s="183"/>
      <c r="AX86" s="183"/>
      <c r="AY86" s="183"/>
      <c r="AZ86" s="183"/>
    </row>
    <row r="87" ht="15" hidden="0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Q87" s="183"/>
      <c r="AR87" s="183"/>
      <c r="AS87" s="183"/>
      <c r="AT87" s="183"/>
      <c r="AU87" s="183"/>
      <c r="AV87" s="183"/>
      <c r="AW87" s="183"/>
      <c r="AX87" s="183"/>
      <c r="AY87" s="183"/>
      <c r="AZ87" s="183"/>
    </row>
    <row r="88" ht="15" hidden="0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  <c r="AS88" s="183"/>
      <c r="AT88" s="183"/>
      <c r="AU88" s="183"/>
      <c r="AV88" s="183"/>
      <c r="AW88" s="183"/>
      <c r="AX88" s="183"/>
      <c r="AY88" s="183"/>
      <c r="AZ88" s="183"/>
    </row>
    <row r="89" ht="15" hidden="0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  <c r="AS89" s="183"/>
      <c r="AT89" s="183"/>
      <c r="AU89" s="183"/>
      <c r="AV89" s="183"/>
      <c r="AW89" s="183"/>
      <c r="AX89" s="183"/>
      <c r="AY89" s="183"/>
      <c r="AZ89" s="183"/>
    </row>
    <row r="90" ht="15" hidden="0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  <c r="AP90" s="183"/>
      <c r="AQ90" s="183"/>
      <c r="AR90" s="183"/>
      <c r="AS90" s="183"/>
      <c r="AT90" s="183"/>
      <c r="AU90" s="183"/>
      <c r="AV90" s="183"/>
      <c r="AW90" s="183"/>
      <c r="AX90" s="183"/>
      <c r="AY90" s="183"/>
      <c r="AZ90" s="183"/>
    </row>
  </sheetData>
  <sheetProtection sheet="1" objects="1" scenarios="1"/>
  <mergeCells>
    <mergeCell ref="A1:H2"/>
    <mergeCell ref="A16:H16"/>
  </mergeCells>
  <pageMargins left="0.7" right="0.7" top="0.75" bottom="0.75" header="0.3" footer="0.3"/>
  <drawing r:id="Rbd831df748da4ae2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</cols>
  <sheetData>
    <row r="1" ht="15" hidden="0" customHeight="1">
      <c r="A1" s="182" t="str">
        <v>Bonus Trackers / Seguimiento extra</v>
      </c>
      <c r="B1" s="182" t="str">
        <v>Bonus Trackers / Seguimiento extra</v>
      </c>
      <c r="C1" s="182" t="str">
        <v>Bonus Trackers / Seguimiento extra</v>
      </c>
      <c r="D1" s="182" t="str">
        <v>Bonus Trackers / Seguimiento extra</v>
      </c>
      <c r="E1" s="182" t="str">
        <v>Bonus Trackers / Seguimiento extra</v>
      </c>
      <c r="F1" s="182" t="str">
        <v>Bonus Trackers / Seguimiento extra</v>
      </c>
      <c r="G1" s="182" t="str">
        <v>Bonus Trackers / Seguimiento extra</v>
      </c>
      <c r="H1" s="182" t="str">
        <v>Bonus Trackers / Seguimiento extra</v>
      </c>
      <c r="I1" s="182" t="str">
        <v>Bonus Trackers / Seguimiento extra</v>
      </c>
      <c r="J1" s="182" t="str">
        <v>Bonus Trackers / Seguimiento extra</v>
      </c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3"/>
      <c r="AY1" s="183"/>
      <c r="AZ1" s="183"/>
    </row>
    <row r="2" ht="15" hidden="0" customHeight="1">
      <c r="A2" s="182" t="str">
        <v>Bonus Trackers / Seguimiento extra</v>
      </c>
      <c r="B2" s="182" t="str">
        <v>Bonus Trackers / Seguimiento extra</v>
      </c>
      <c r="C2" s="182" t="str">
        <v>Bonus Trackers / Seguimiento extra</v>
      </c>
      <c r="D2" s="182" t="str">
        <v>Bonus Trackers / Seguimiento extra</v>
      </c>
      <c r="E2" s="182" t="str">
        <v>Bonus Trackers / Seguimiento extra</v>
      </c>
      <c r="F2" s="182" t="str">
        <v>Bonus Trackers / Seguimiento extra</v>
      </c>
      <c r="G2" s="182" t="str">
        <v>Bonus Trackers / Seguimiento extra</v>
      </c>
      <c r="H2" s="182" t="str">
        <v>Bonus Trackers / Seguimiento extra</v>
      </c>
      <c r="I2" s="182" t="str">
        <v>Bonus Trackers / Seguimiento extra</v>
      </c>
      <c r="J2" s="182" t="str">
        <v>Bonus Trackers / Seguimiento extra</v>
      </c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</row>
    <row r="3" ht="15" hidden="0" customHeight="1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</row>
    <row r="4" ht="15" hidden="0" customHeight="1">
      <c r="A4" s="183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</row>
    <row r="5" ht="15" hidden="0" customHeight="1">
      <c r="A5" s="216" t="str">
        <v>Día</v>
      </c>
      <c r="B5" s="217" t="str">
        <v>Agua</v>
      </c>
      <c r="C5" s="217" t="str">
        <v>Sueño</v>
      </c>
      <c r="D5" s="217" t="str">
        <v>Ejercicio</v>
      </c>
      <c r="E5" s="217" t="str">
        <v>Lectura</v>
      </c>
      <c r="F5" s="217" t="str">
        <v>Gastos</v>
      </c>
      <c r="G5" s="217" t="str">
        <v>Ahorro</v>
      </c>
      <c r="H5" s="217" t="str">
        <v>Afirmación</v>
      </c>
      <c r="I5" s="217" t="str">
        <v>Ánimo</v>
      </c>
      <c r="J5" s="218" t="str">
        <v>Nota</v>
      </c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</row>
    <row r="6" ht="15" hidden="0" customHeight="1">
      <c r="A6" s="204" t="n">
        <v>1</v>
      </c>
      <c r="B6" s="470" t="n">
        <v>8</v>
      </c>
      <c r="C6" s="470" t="n">
        <v>6.5</v>
      </c>
      <c r="D6" s="470" t="n">
        <v>0</v>
      </c>
      <c r="E6" s="470" t="n">
        <v>5</v>
      </c>
      <c r="F6" s="522" t="n">
        <v>12</v>
      </c>
      <c r="G6" s="522" t="n">
        <v>20</v>
      </c>
      <c r="H6" s="470" t="str"/>
      <c r="I6" s="470" t="str">
        <v>Bien</v>
      </c>
      <c r="J6" s="487" t="str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</row>
    <row r="7" ht="15" hidden="0" customHeight="1">
      <c r="A7" s="207" t="n">
        <v>2</v>
      </c>
      <c r="B7" s="473" t="n">
        <v>7</v>
      </c>
      <c r="C7" s="473" t="n">
        <v>7</v>
      </c>
      <c r="D7" s="473" t="n">
        <v>30</v>
      </c>
      <c r="E7" s="473" t="n">
        <v>10</v>
      </c>
      <c r="F7" s="523" t="str"/>
      <c r="G7" s="523" t="str"/>
      <c r="H7" s="473" t="str"/>
      <c r="I7" s="473" t="str"/>
      <c r="J7" s="488" t="str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</row>
    <row r="8" ht="15" hidden="0" customHeight="1">
      <c r="A8" s="207" t="n">
        <v>3</v>
      </c>
      <c r="B8" s="473" t="n">
        <v>8</v>
      </c>
      <c r="C8" s="473" t="n">
        <v>7</v>
      </c>
      <c r="D8" s="473" t="n">
        <v>30</v>
      </c>
      <c r="E8" s="473" t="n">
        <v>5</v>
      </c>
      <c r="F8" s="523" t="str"/>
      <c r="G8" s="523" t="str"/>
      <c r="H8" s="473" t="str"/>
      <c r="I8" s="473" t="str"/>
      <c r="J8" s="488" t="str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</row>
    <row r="9" ht="15" hidden="0" customHeight="1">
      <c r="A9" s="207" t="n">
        <v>4</v>
      </c>
      <c r="B9" s="473" t="n">
        <v>7</v>
      </c>
      <c r="C9" s="473" t="n">
        <v>6.5</v>
      </c>
      <c r="D9" s="473" t="n">
        <v>30</v>
      </c>
      <c r="E9" s="473" t="n">
        <v>10</v>
      </c>
      <c r="F9" s="523" t="str"/>
      <c r="G9" s="523" t="str"/>
      <c r="H9" s="473" t="str"/>
      <c r="I9" s="473" t="str"/>
      <c r="J9" s="488" t="str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</row>
    <row r="10" ht="15" hidden="0" customHeight="1">
      <c r="A10" s="207" t="n">
        <v>5</v>
      </c>
      <c r="B10" s="473" t="n">
        <v>8</v>
      </c>
      <c r="C10" s="473" t="n">
        <v>7</v>
      </c>
      <c r="D10" s="473" t="n">
        <v>0</v>
      </c>
      <c r="E10" s="473" t="n">
        <v>5</v>
      </c>
      <c r="F10" s="523" t="str"/>
      <c r="G10" s="523" t="str"/>
      <c r="H10" s="473" t="str"/>
      <c r="I10" s="473" t="str"/>
      <c r="J10" s="488" t="str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3"/>
    </row>
    <row r="11" ht="15" hidden="0" customHeight="1">
      <c r="A11" s="207" t="n">
        <v>6</v>
      </c>
      <c r="B11" s="473" t="n">
        <v>7</v>
      </c>
      <c r="C11" s="473" t="n">
        <v>7</v>
      </c>
      <c r="D11" s="473" t="n">
        <v>30</v>
      </c>
      <c r="E11" s="473" t="n">
        <v>10</v>
      </c>
      <c r="F11" s="523" t="n">
        <v>12</v>
      </c>
      <c r="G11" s="523" t="str"/>
      <c r="H11" s="473" t="str"/>
      <c r="I11" s="473" t="str">
        <v>Bien</v>
      </c>
      <c r="J11" s="488" t="str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  <c r="AY11" s="183"/>
      <c r="AZ11" s="183"/>
    </row>
    <row r="12" ht="15" hidden="0" customHeight="1">
      <c r="A12" s="207" t="n">
        <v>7</v>
      </c>
      <c r="B12" s="473" t="n">
        <v>8</v>
      </c>
      <c r="C12" s="473" t="n">
        <v>6.5</v>
      </c>
      <c r="D12" s="473" t="n">
        <v>30</v>
      </c>
      <c r="E12" s="473" t="n">
        <v>5</v>
      </c>
      <c r="F12" s="523" t="str"/>
      <c r="G12" s="523" t="str"/>
      <c r="H12" s="473" t="str"/>
      <c r="I12" s="473" t="str"/>
      <c r="J12" s="488" t="str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/>
      <c r="AZ12" s="183"/>
    </row>
    <row r="13" ht="15" hidden="0" customHeight="1">
      <c r="A13" s="207" t="n">
        <v>8</v>
      </c>
      <c r="B13" s="473" t="n">
        <v>7</v>
      </c>
      <c r="C13" s="473" t="n">
        <v>7</v>
      </c>
      <c r="D13" s="473" t="n">
        <v>30</v>
      </c>
      <c r="E13" s="473" t="n">
        <v>10</v>
      </c>
      <c r="F13" s="523" t="str"/>
      <c r="G13" s="523" t="n">
        <v>20</v>
      </c>
      <c r="H13" s="473" t="str"/>
      <c r="I13" s="473" t="str"/>
      <c r="J13" s="488" t="str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</row>
    <row r="14" ht="15" hidden="0" customHeight="1">
      <c r="A14" s="207" t="n">
        <v>9</v>
      </c>
      <c r="B14" s="473" t="n">
        <v>8</v>
      </c>
      <c r="C14" s="473" t="n">
        <v>7</v>
      </c>
      <c r="D14" s="473" t="n">
        <v>0</v>
      </c>
      <c r="E14" s="473" t="n">
        <v>5</v>
      </c>
      <c r="F14" s="523" t="str"/>
      <c r="G14" s="523" t="str"/>
      <c r="H14" s="473" t="str"/>
      <c r="I14" s="473" t="str"/>
      <c r="J14" s="488" t="str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</row>
    <row r="15" ht="15" hidden="0" customHeight="1">
      <c r="A15" s="207" t="n">
        <v>10</v>
      </c>
      <c r="B15" s="473" t="n">
        <v>7</v>
      </c>
      <c r="C15" s="473" t="n">
        <v>6.5</v>
      </c>
      <c r="D15" s="473" t="n">
        <v>30</v>
      </c>
      <c r="E15" s="473" t="n">
        <v>10</v>
      </c>
      <c r="F15" s="523" t="str"/>
      <c r="G15" s="523" t="str"/>
      <c r="H15" s="473" t="str"/>
      <c r="I15" s="473" t="str"/>
      <c r="J15" s="488" t="str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3"/>
      <c r="AX15" s="183"/>
      <c r="AY15" s="183"/>
      <c r="AZ15" s="183"/>
    </row>
    <row r="16" ht="15" hidden="0" customHeight="1">
      <c r="A16" s="207" t="n">
        <v>11</v>
      </c>
      <c r="B16" s="473" t="n">
        <v>8</v>
      </c>
      <c r="C16" s="473" t="n">
        <v>7</v>
      </c>
      <c r="D16" s="473" t="n">
        <v>30</v>
      </c>
      <c r="E16" s="473" t="n">
        <v>5</v>
      </c>
      <c r="F16" s="523" t="n">
        <v>12</v>
      </c>
      <c r="G16" s="523" t="str"/>
      <c r="H16" s="473" t="str"/>
      <c r="I16" s="473" t="str">
        <v>Bien</v>
      </c>
      <c r="J16" s="488" t="str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</row>
    <row r="17" ht="15" hidden="0" customHeight="1">
      <c r="A17" s="207" t="n">
        <v>12</v>
      </c>
      <c r="B17" s="473" t="n">
        <v>7</v>
      </c>
      <c r="C17" s="473" t="n">
        <v>7</v>
      </c>
      <c r="D17" s="473" t="n">
        <v>30</v>
      </c>
      <c r="E17" s="473" t="n">
        <v>10</v>
      </c>
      <c r="F17" s="523" t="str"/>
      <c r="G17" s="523" t="str"/>
      <c r="H17" s="473" t="str"/>
      <c r="I17" s="473" t="str"/>
      <c r="J17" s="488" t="str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</row>
    <row r="18" ht="15" hidden="0" customHeight="1">
      <c r="A18" s="207" t="n">
        <v>13</v>
      </c>
      <c r="B18" s="473" t="n">
        <v>8</v>
      </c>
      <c r="C18" s="473" t="n">
        <v>6.5</v>
      </c>
      <c r="D18" s="473" t="n">
        <v>0</v>
      </c>
      <c r="E18" s="473" t="n">
        <v>5</v>
      </c>
      <c r="F18" s="523" t="str"/>
      <c r="G18" s="523" t="str"/>
      <c r="H18" s="473" t="str"/>
      <c r="I18" s="473" t="str"/>
      <c r="J18" s="488" t="str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</row>
    <row r="19" ht="15" hidden="0" customHeight="1">
      <c r="A19" s="207" t="n">
        <v>14</v>
      </c>
      <c r="B19" s="473" t="n">
        <v>7</v>
      </c>
      <c r="C19" s="473" t="n">
        <v>7</v>
      </c>
      <c r="D19" s="473" t="n">
        <v>30</v>
      </c>
      <c r="E19" s="473" t="n">
        <v>10</v>
      </c>
      <c r="F19" s="523" t="str"/>
      <c r="G19" s="523" t="str"/>
      <c r="H19" s="473" t="str"/>
      <c r="I19" s="473" t="str"/>
      <c r="J19" s="488" t="str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</row>
    <row r="20" ht="15" hidden="0" customHeight="1">
      <c r="A20" s="207" t="n">
        <v>15</v>
      </c>
      <c r="B20" s="473" t="n">
        <v>8</v>
      </c>
      <c r="C20" s="473" t="n">
        <v>7</v>
      </c>
      <c r="D20" s="473" t="n">
        <v>30</v>
      </c>
      <c r="E20" s="473" t="n">
        <v>5</v>
      </c>
      <c r="F20" s="523" t="str"/>
      <c r="G20" s="523" t="n">
        <v>20</v>
      </c>
      <c r="H20" s="473" t="str"/>
      <c r="I20" s="473" t="str"/>
      <c r="J20" s="488" t="str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183"/>
      <c r="AX20" s="183"/>
      <c r="AY20" s="183"/>
      <c r="AZ20" s="183"/>
    </row>
    <row r="21" ht="15" hidden="0" customHeight="1">
      <c r="A21" s="207" t="n">
        <v>16</v>
      </c>
      <c r="B21" s="473" t="n">
        <v>7</v>
      </c>
      <c r="C21" s="473" t="n">
        <v>6.5</v>
      </c>
      <c r="D21" s="473" t="n">
        <v>30</v>
      </c>
      <c r="E21" s="473" t="n">
        <v>10</v>
      </c>
      <c r="F21" s="523" t="n">
        <v>12</v>
      </c>
      <c r="G21" s="523" t="str"/>
      <c r="H21" s="473" t="str"/>
      <c r="I21" s="473" t="str">
        <v>Bien</v>
      </c>
      <c r="J21" s="488" t="str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</row>
    <row r="22" ht="15" hidden="0" customHeight="1">
      <c r="A22" s="207" t="n">
        <v>17</v>
      </c>
      <c r="B22" s="473" t="n">
        <v>8</v>
      </c>
      <c r="C22" s="473" t="n">
        <v>7</v>
      </c>
      <c r="D22" s="473" t="n">
        <v>0</v>
      </c>
      <c r="E22" s="473" t="n">
        <v>5</v>
      </c>
      <c r="F22" s="523" t="str"/>
      <c r="G22" s="523" t="str"/>
      <c r="H22" s="473" t="str"/>
      <c r="I22" s="473" t="str"/>
      <c r="J22" s="488" t="str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  <c r="AS22" s="183"/>
      <c r="AT22" s="183"/>
      <c r="AU22" s="183"/>
      <c r="AV22" s="183"/>
      <c r="AW22" s="183"/>
      <c r="AX22" s="183"/>
      <c r="AY22" s="183"/>
      <c r="AZ22" s="183"/>
    </row>
    <row r="23" ht="15" hidden="0" customHeight="1">
      <c r="A23" s="207" t="n">
        <v>18</v>
      </c>
      <c r="B23" s="473" t="n">
        <v>7</v>
      </c>
      <c r="C23" s="473" t="n">
        <v>7</v>
      </c>
      <c r="D23" s="473" t="n">
        <v>30</v>
      </c>
      <c r="E23" s="473" t="n">
        <v>10</v>
      </c>
      <c r="F23" s="523" t="str"/>
      <c r="G23" s="523" t="str"/>
      <c r="H23" s="473" t="str"/>
      <c r="I23" s="473" t="str"/>
      <c r="J23" s="488" t="str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83"/>
    </row>
    <row r="24" ht="15" hidden="0" customHeight="1">
      <c r="A24" s="207" t="n">
        <v>19</v>
      </c>
      <c r="B24" s="473" t="n">
        <v>8</v>
      </c>
      <c r="C24" s="473" t="n">
        <v>6.5</v>
      </c>
      <c r="D24" s="473" t="n">
        <v>30</v>
      </c>
      <c r="E24" s="473" t="n">
        <v>5</v>
      </c>
      <c r="F24" s="523" t="str"/>
      <c r="G24" s="523" t="str"/>
      <c r="H24" s="473" t="str"/>
      <c r="I24" s="473" t="str"/>
      <c r="J24" s="488" t="str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  <c r="AS24" s="183"/>
      <c r="AT24" s="183"/>
      <c r="AU24" s="183"/>
      <c r="AV24" s="183"/>
      <c r="AW24" s="183"/>
      <c r="AX24" s="183"/>
      <c r="AY24" s="183"/>
      <c r="AZ24" s="183"/>
    </row>
    <row r="25" ht="15" hidden="0" customHeight="1">
      <c r="A25" s="207" t="n">
        <v>20</v>
      </c>
      <c r="B25" s="473" t="n">
        <v>7</v>
      </c>
      <c r="C25" s="473" t="n">
        <v>7</v>
      </c>
      <c r="D25" s="473" t="n">
        <v>30</v>
      </c>
      <c r="E25" s="473" t="n">
        <v>10</v>
      </c>
      <c r="F25" s="523" t="str"/>
      <c r="G25" s="523" t="str"/>
      <c r="H25" s="473" t="str"/>
      <c r="I25" s="473" t="str"/>
      <c r="J25" s="488" t="str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</row>
    <row r="26" ht="15" hidden="0" customHeight="1">
      <c r="A26" s="207" t="n">
        <v>21</v>
      </c>
      <c r="B26" s="473" t="n">
        <v>8</v>
      </c>
      <c r="C26" s="473" t="n">
        <v>7</v>
      </c>
      <c r="D26" s="473" t="n">
        <v>0</v>
      </c>
      <c r="E26" s="473" t="n">
        <v>5</v>
      </c>
      <c r="F26" s="523" t="n">
        <v>12</v>
      </c>
      <c r="G26" s="523" t="str"/>
      <c r="H26" s="473" t="str"/>
      <c r="I26" s="473" t="str">
        <v>Bien</v>
      </c>
      <c r="J26" s="488" t="str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  <c r="AS26" s="183"/>
      <c r="AT26" s="183"/>
      <c r="AU26" s="183"/>
      <c r="AV26" s="183"/>
      <c r="AW26" s="183"/>
      <c r="AX26" s="183"/>
      <c r="AY26" s="183"/>
      <c r="AZ26" s="183"/>
    </row>
    <row r="27" ht="15" hidden="0" customHeight="1">
      <c r="A27" s="207" t="n">
        <v>22</v>
      </c>
      <c r="B27" s="473" t="n">
        <v>7</v>
      </c>
      <c r="C27" s="473" t="n">
        <v>6.5</v>
      </c>
      <c r="D27" s="473" t="n">
        <v>30</v>
      </c>
      <c r="E27" s="473" t="n">
        <v>10</v>
      </c>
      <c r="F27" s="523" t="str"/>
      <c r="G27" s="523" t="n">
        <v>20</v>
      </c>
      <c r="H27" s="473" t="str"/>
      <c r="I27" s="473" t="str"/>
      <c r="J27" s="488" t="str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3"/>
      <c r="AX27" s="183"/>
      <c r="AY27" s="183"/>
      <c r="AZ27" s="183"/>
    </row>
    <row r="28" ht="15" hidden="0" customHeight="1">
      <c r="A28" s="207" t="n">
        <v>23</v>
      </c>
      <c r="B28" s="473" t="n">
        <v>8</v>
      </c>
      <c r="C28" s="473" t="n">
        <v>7</v>
      </c>
      <c r="D28" s="473" t="n">
        <v>30</v>
      </c>
      <c r="E28" s="473" t="n">
        <v>5</v>
      </c>
      <c r="F28" s="523" t="str"/>
      <c r="G28" s="523" t="str"/>
      <c r="H28" s="473" t="str"/>
      <c r="I28" s="473" t="str"/>
      <c r="J28" s="488" t="str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183"/>
      <c r="AR28" s="183"/>
      <c r="AS28" s="183"/>
      <c r="AT28" s="183"/>
      <c r="AU28" s="183"/>
      <c r="AV28" s="183"/>
      <c r="AW28" s="183"/>
      <c r="AX28" s="183"/>
      <c r="AY28" s="183"/>
      <c r="AZ28" s="183"/>
    </row>
    <row r="29" ht="15" hidden="0" customHeight="1">
      <c r="A29" s="207" t="n">
        <v>24</v>
      </c>
      <c r="B29" s="473" t="n">
        <v>7</v>
      </c>
      <c r="C29" s="473" t="n">
        <v>7</v>
      </c>
      <c r="D29" s="473" t="n">
        <v>30</v>
      </c>
      <c r="E29" s="473" t="n">
        <v>10</v>
      </c>
      <c r="F29" s="523" t="str"/>
      <c r="G29" s="523" t="str"/>
      <c r="H29" s="473" t="str"/>
      <c r="I29" s="473" t="str"/>
      <c r="J29" s="488" t="str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3"/>
      <c r="AX29" s="183"/>
      <c r="AY29" s="183"/>
      <c r="AZ29" s="183"/>
    </row>
    <row r="30" ht="15" hidden="0" customHeight="1">
      <c r="A30" s="207" t="n">
        <v>25</v>
      </c>
      <c r="B30" s="473" t="n">
        <v>8</v>
      </c>
      <c r="C30" s="473" t="n">
        <v>6.5</v>
      </c>
      <c r="D30" s="473" t="n">
        <v>0</v>
      </c>
      <c r="E30" s="473" t="n">
        <v>5</v>
      </c>
      <c r="F30" s="523" t="str"/>
      <c r="G30" s="523" t="str"/>
      <c r="H30" s="473" t="str"/>
      <c r="I30" s="473" t="str"/>
      <c r="J30" s="488" t="str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  <c r="AU30" s="183"/>
      <c r="AV30" s="183"/>
      <c r="AW30" s="183"/>
      <c r="AX30" s="183"/>
      <c r="AY30" s="183"/>
      <c r="AZ30" s="183"/>
    </row>
    <row r="31" ht="15" hidden="0" customHeight="1">
      <c r="A31" s="207" t="n">
        <v>26</v>
      </c>
      <c r="B31" s="473" t="n">
        <v>7</v>
      </c>
      <c r="C31" s="473" t="n">
        <v>7</v>
      </c>
      <c r="D31" s="473" t="n">
        <v>30</v>
      </c>
      <c r="E31" s="473" t="n">
        <v>10</v>
      </c>
      <c r="F31" s="523" t="n">
        <v>12</v>
      </c>
      <c r="G31" s="523" t="str"/>
      <c r="H31" s="473" t="str"/>
      <c r="I31" s="473" t="str">
        <v>Bien</v>
      </c>
      <c r="J31" s="488" t="str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3"/>
      <c r="AX31" s="183"/>
      <c r="AY31" s="183"/>
      <c r="AZ31" s="183"/>
    </row>
    <row r="32" ht="15" hidden="0" customHeight="1">
      <c r="A32" s="207" t="n">
        <v>27</v>
      </c>
      <c r="B32" s="473" t="n">
        <v>8</v>
      </c>
      <c r="C32" s="473" t="n">
        <v>7</v>
      </c>
      <c r="D32" s="473" t="n">
        <v>30</v>
      </c>
      <c r="E32" s="473" t="n">
        <v>5</v>
      </c>
      <c r="F32" s="523" t="str"/>
      <c r="G32" s="523" t="str"/>
      <c r="H32" s="473" t="str"/>
      <c r="I32" s="473" t="str"/>
      <c r="J32" s="488" t="str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  <c r="AU32" s="183"/>
      <c r="AV32" s="183"/>
      <c r="AW32" s="183"/>
      <c r="AX32" s="183"/>
      <c r="AY32" s="183"/>
      <c r="AZ32" s="183"/>
    </row>
    <row r="33" ht="15" hidden="0" customHeight="1">
      <c r="A33" s="207" t="n">
        <v>28</v>
      </c>
      <c r="B33" s="473" t="n">
        <v>7</v>
      </c>
      <c r="C33" s="473" t="n">
        <v>6.5</v>
      </c>
      <c r="D33" s="473" t="n">
        <v>30</v>
      </c>
      <c r="E33" s="473" t="n">
        <v>10</v>
      </c>
      <c r="F33" s="523" t="str"/>
      <c r="G33" s="523" t="str"/>
      <c r="H33" s="473" t="str"/>
      <c r="I33" s="473" t="str"/>
      <c r="J33" s="488" t="str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3"/>
      <c r="AX33" s="183"/>
      <c r="AY33" s="183"/>
      <c r="AZ33" s="183"/>
    </row>
    <row r="34" ht="15" hidden="0" customHeight="1">
      <c r="A34" s="207" t="n">
        <v>29</v>
      </c>
      <c r="B34" s="473" t="n">
        <v>8</v>
      </c>
      <c r="C34" s="473" t="n">
        <v>7</v>
      </c>
      <c r="D34" s="473" t="n">
        <v>0</v>
      </c>
      <c r="E34" s="473" t="n">
        <v>5</v>
      </c>
      <c r="F34" s="523" t="str"/>
      <c r="G34" s="523" t="n">
        <v>20</v>
      </c>
      <c r="H34" s="473" t="str"/>
      <c r="I34" s="473" t="str"/>
      <c r="J34" s="488" t="str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3"/>
    </row>
    <row r="35" ht="15" hidden="0" customHeight="1">
      <c r="A35" s="207" t="n">
        <v>30</v>
      </c>
      <c r="B35" s="473" t="n">
        <v>7</v>
      </c>
      <c r="C35" s="473" t="n">
        <v>7</v>
      </c>
      <c r="D35" s="473" t="n">
        <v>30</v>
      </c>
      <c r="E35" s="473" t="n">
        <v>10</v>
      </c>
      <c r="F35" s="523" t="str"/>
      <c r="G35" s="523" t="str"/>
      <c r="H35" s="473" t="str"/>
      <c r="I35" s="473" t="str"/>
      <c r="J35" s="488" t="str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</row>
    <row r="36" ht="15" hidden="0" customHeight="1">
      <c r="A36" s="210" t="n">
        <v>31</v>
      </c>
      <c r="B36" s="476" t="n">
        <v>8</v>
      </c>
      <c r="C36" s="476" t="n">
        <v>6.5</v>
      </c>
      <c r="D36" s="476" t="n">
        <v>30</v>
      </c>
      <c r="E36" s="476" t="n">
        <v>5</v>
      </c>
      <c r="F36" s="524" t="n">
        <v>12</v>
      </c>
      <c r="G36" s="524" t="str"/>
      <c r="H36" s="476" t="str"/>
      <c r="I36" s="476" t="str">
        <v>Bien</v>
      </c>
      <c r="J36" s="489" t="str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83"/>
      <c r="AY36" s="183"/>
      <c r="AZ36" s="183"/>
    </row>
    <row r="37" ht="15" hidden="0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3"/>
      <c r="AX37" s="183"/>
      <c r="AY37" s="183"/>
      <c r="AZ37" s="183"/>
    </row>
    <row r="38" ht="15" hidden="0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3"/>
      <c r="AQ38" s="183"/>
      <c r="AR38" s="183"/>
      <c r="AS38" s="183"/>
      <c r="AT38" s="183"/>
      <c r="AU38" s="183"/>
      <c r="AV38" s="183"/>
      <c r="AW38" s="183"/>
      <c r="AX38" s="183"/>
      <c r="AY38" s="183"/>
      <c r="AZ38" s="183"/>
    </row>
    <row r="39" ht="15" hidden="0" customHeight="1">
      <c r="A39" s="251" t="str">
        <v>Prom. agua</v>
      </c>
      <c r="B39" s="252" t="str">
        <v>Prom. sueño</v>
      </c>
      <c r="C39" s="252" t="str">
        <v>Total ejercicio</v>
      </c>
      <c r="D39" s="252" t="str">
        <v>Total lectura</v>
      </c>
      <c r="E39" s="252" t="str">
        <v>Gastos</v>
      </c>
      <c r="F39" s="252" t="str">
        <v>Ahorro</v>
      </c>
      <c r="G39" s="252" t="str">
        <v>Balance</v>
      </c>
      <c r="H39" s="252" t="str">
        <v>Afirmaciones</v>
      </c>
      <c r="I39" s="252" t="str">
        <v>Uso</v>
      </c>
      <c r="J39" s="253" t="str">
        <v>Notas</v>
      </c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</row>
    <row r="40" ht="15" hidden="0" customHeight="1">
      <c r="A40" s="219" t="n">
        <f>IFERROR(AVERAGE(B6:B36),0)</f>
        <v>7.516129032258065</v>
      </c>
      <c r="B40" s="260" t="n">
        <f>IFERROR(AVERAGE(C6:C36),0)</f>
        <v>6.82258064516129</v>
      </c>
      <c r="C40" s="260" t="n">
        <f>SUM(D6:D36)</f>
        <v>690</v>
      </c>
      <c r="D40" s="260" t="n">
        <f>SUM(E6:E36)</f>
        <v>230</v>
      </c>
      <c r="E40" s="261" t="n">
        <f>SUM(F6:F36)</f>
        <v>84</v>
      </c>
      <c r="F40" s="261" t="n">
        <f>SUM(G6:G36)</f>
        <v>100</v>
      </c>
      <c r="G40" s="261">
        <f>G40-F40</f>
      </c>
      <c r="H40" s="260" t="n">
        <f>COUNTA(H6:H36)</f>
        <v>31</v>
      </c>
      <c r="I40" s="260" t="str"/>
      <c r="J40" s="262" t="str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  <c r="AO40" s="183"/>
      <c r="AP40" s="183"/>
      <c r="AQ40" s="183"/>
      <c r="AR40" s="183"/>
      <c r="AS40" s="183"/>
      <c r="AT40" s="183"/>
      <c r="AU40" s="183"/>
      <c r="AV40" s="183"/>
      <c r="AW40" s="183"/>
      <c r="AX40" s="183"/>
      <c r="AY40" s="183"/>
      <c r="AZ40" s="183"/>
    </row>
    <row r="41" ht="15" hidden="0" customHeight="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</row>
    <row r="42" ht="15" hidden="0" customHeight="1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</row>
    <row r="43" ht="15" hidden="0" customHeight="1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</row>
    <row r="44" ht="15" hidden="0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</row>
    <row r="45" ht="15" hidden="0" customHeight="1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</row>
    <row r="46" ht="15" hidden="0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</row>
    <row r="47" ht="15" hidden="0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3"/>
      <c r="AX47" s="183"/>
      <c r="AY47" s="183"/>
      <c r="AZ47" s="183"/>
    </row>
    <row r="48" ht="15" hidden="0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  <c r="AS48" s="183"/>
      <c r="AT48" s="183"/>
      <c r="AU48" s="183"/>
      <c r="AV48" s="183"/>
      <c r="AW48" s="183"/>
      <c r="AX48" s="183"/>
      <c r="AY48" s="183"/>
      <c r="AZ48" s="183"/>
    </row>
    <row r="49" ht="15" hidden="0" customHeight="1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  <c r="AY49" s="183"/>
      <c r="AZ49" s="183"/>
    </row>
    <row r="50" ht="15" hidden="0" customHeight="1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</row>
    <row r="51" ht="15" hidden="0" customHeight="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</row>
    <row r="52" ht="15" hidden="0" customHeight="1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</row>
    <row r="53" ht="15" hidden="0" customHeight="1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</row>
    <row r="54" ht="15" hidden="0" customHeight="1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</row>
    <row r="55" ht="15" hidden="0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</row>
    <row r="56" ht="15" hidden="0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</row>
    <row r="57" ht="15" hidden="0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</row>
    <row r="58" ht="15" hidden="0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</row>
    <row r="59" ht="15" hidden="0" customHeight="1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</row>
    <row r="60" ht="15" hidden="0" customHeight="1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</row>
    <row r="61" ht="15" hidden="0" customHeight="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</row>
    <row r="62" ht="15" hidden="0" customHeight="1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</row>
    <row r="63" ht="15" hidden="0" customHeight="1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</row>
    <row r="64" ht="15" hidden="0" customHeight="1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</row>
    <row r="65" ht="15" hidden="0" customHeight="1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</row>
    <row r="66" ht="15" hidden="0" customHeight="1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</row>
    <row r="67" ht="15" hidden="0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</row>
    <row r="68" ht="15" hidden="0" customHeight="1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</row>
    <row r="69" ht="15" hidden="0" customHeight="1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</row>
    <row r="70" ht="15" hidden="0" customHeight="1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</row>
    <row r="71" ht="15" hidden="0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</row>
    <row r="72" ht="15" hidden="0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</row>
    <row r="73" ht="15" hidden="0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</row>
    <row r="74" ht="15" hidden="0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</row>
    <row r="75" ht="15" hidden="0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</row>
    <row r="76" ht="15" hidden="0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</row>
    <row r="77" ht="15" hidden="0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</row>
    <row r="78" ht="15" hidden="0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</row>
    <row r="79" ht="15" hidden="0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</row>
    <row r="80" ht="15" hidden="0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</row>
    <row r="81" ht="15" hidden="0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</row>
    <row r="82" ht="15" hidden="0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</row>
    <row r="83" ht="15" hidden="0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</row>
    <row r="84" ht="15" hidden="0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</row>
    <row r="85" ht="15" hidden="0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</row>
    <row r="86" ht="15" hidden="0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3"/>
      <c r="AO86" s="183"/>
      <c r="AP86" s="183"/>
      <c r="AQ86" s="183"/>
      <c r="AR86" s="183"/>
      <c r="AS86" s="183"/>
      <c r="AT86" s="183"/>
      <c r="AU86" s="183"/>
      <c r="AV86" s="183"/>
      <c r="AW86" s="183"/>
      <c r="AX86" s="183"/>
      <c r="AY86" s="183"/>
      <c r="AZ86" s="183"/>
    </row>
    <row r="87" ht="15" hidden="0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Q87" s="183"/>
      <c r="AR87" s="183"/>
      <c r="AS87" s="183"/>
      <c r="AT87" s="183"/>
      <c r="AU87" s="183"/>
      <c r="AV87" s="183"/>
      <c r="AW87" s="183"/>
      <c r="AX87" s="183"/>
      <c r="AY87" s="183"/>
      <c r="AZ87" s="183"/>
    </row>
    <row r="88" ht="15" hidden="0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  <c r="AS88" s="183"/>
      <c r="AT88" s="183"/>
      <c r="AU88" s="183"/>
      <c r="AV88" s="183"/>
      <c r="AW88" s="183"/>
      <c r="AX88" s="183"/>
      <c r="AY88" s="183"/>
      <c r="AZ88" s="183"/>
    </row>
    <row r="89" ht="15" hidden="0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  <c r="AS89" s="183"/>
      <c r="AT89" s="183"/>
      <c r="AU89" s="183"/>
      <c r="AV89" s="183"/>
      <c r="AW89" s="183"/>
      <c r="AX89" s="183"/>
      <c r="AY89" s="183"/>
      <c r="AZ89" s="183"/>
    </row>
    <row r="90" ht="15" hidden="0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  <c r="AP90" s="183"/>
      <c r="AQ90" s="183"/>
      <c r="AR90" s="183"/>
      <c r="AS90" s="183"/>
      <c r="AT90" s="183"/>
      <c r="AU90" s="183"/>
      <c r="AV90" s="183"/>
      <c r="AW90" s="183"/>
      <c r="AX90" s="183"/>
      <c r="AY90" s="183"/>
      <c r="AZ90" s="183"/>
    </row>
  </sheetData>
  <sheetProtection sheet="1" objects="1" scenarios="1"/>
  <mergeCells>
    <mergeCell ref="A1:J2"/>
  </mergeCells>
  <pageMargins left="0.7" right="0.7" top="0.75" bottom="0.75" header="0.3" footer="0.3"/>
  <tableParts count="1">
    <tablePart r:id="R4196e30df44e4d9d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23" hidden="0" customWidth="1"/>
    <col min="2" max="2" width="23" hidden="0" customWidth="1"/>
    <col min="3" max="3" width="23" hidden="0" customWidth="1"/>
    <col min="4" max="4" width="23" hidden="0" customWidth="1"/>
    <col min="5" max="5" width="23" hidden="0" customWidth="1"/>
  </cols>
  <sheetData>
    <row r="1" ht="15" hidden="0" customHeight="1">
      <c r="A1" s="182" t="str">
        <v>Habit Ideas / Hábitos sugeridos</v>
      </c>
      <c r="B1" s="182" t="str">
        <v>Habit Ideas / Hábitos sugeridos</v>
      </c>
      <c r="C1" s="182" t="str">
        <v>Habit Ideas / Hábitos sugeridos</v>
      </c>
      <c r="D1" s="182" t="str">
        <v>Habit Ideas / Hábitos sugeridos</v>
      </c>
      <c r="E1" s="182" t="str">
        <v>Habit Ideas / Hábitos sugeridos</v>
      </c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3"/>
      <c r="AY1" s="183"/>
      <c r="AZ1" s="183"/>
    </row>
    <row r="2" ht="15" hidden="0" customHeight="1">
      <c r="A2" s="182" t="str">
        <v>Habit Ideas / Hábitos sugeridos</v>
      </c>
      <c r="B2" s="182" t="str">
        <v>Habit Ideas / Hábitos sugeridos</v>
      </c>
      <c r="C2" s="182" t="str">
        <v>Habit Ideas / Hábitos sugeridos</v>
      </c>
      <c r="D2" s="182" t="str">
        <v>Habit Ideas / Hábitos sugeridos</v>
      </c>
      <c r="E2" s="182" t="str">
        <v>Habit Ideas / Hábitos sugeridos</v>
      </c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</row>
    <row r="3" ht="15" hidden="0" customHeight="1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</row>
    <row r="4" ht="15" hidden="0" customHeight="1">
      <c r="A4" s="183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</row>
    <row r="5" ht="15" hidden="0" customHeight="1">
      <c r="A5" s="216" t="str">
        <v>Categoría</v>
      </c>
      <c r="B5" s="217" t="str">
        <v>Idea</v>
      </c>
      <c r="C5" s="217" t="str">
        <v>Dificultad</v>
      </c>
      <c r="D5" s="217" t="str">
        <v>Meta</v>
      </c>
      <c r="E5" s="218" t="str">
        <v>Beneficio</v>
      </c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</row>
    <row r="6" ht="15" hidden="0" customHeight="1">
      <c r="A6" s="204" t="str">
        <v>Salud</v>
      </c>
      <c r="B6" s="205" t="str">
        <v>Beber agua al despertar</v>
      </c>
      <c r="C6" s="205" t="str">
        <v>Fácil</v>
      </c>
      <c r="D6" s="205" t="str">
        <v>25 días</v>
      </c>
      <c r="E6" s="222" t="str">
        <v>Hidratación</v>
      </c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</row>
    <row r="7" ht="15" hidden="0" customHeight="1">
      <c r="A7" s="207" t="str">
        <v>Ejercicio</v>
      </c>
      <c r="B7" s="208" t="str">
        <v>Caminar 30 minutos</v>
      </c>
      <c r="C7" s="208" t="str">
        <v>Media</v>
      </c>
      <c r="D7" s="208" t="str">
        <v>20 días</v>
      </c>
      <c r="E7" s="223" t="str">
        <v>Movimiento</v>
      </c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</row>
    <row r="8" ht="15" hidden="0" customHeight="1">
      <c r="A8" s="207" t="str">
        <v>Estudio</v>
      </c>
      <c r="B8" s="208" t="str">
        <v>Repasar apuntes</v>
      </c>
      <c r="C8" s="208" t="str">
        <v>Media</v>
      </c>
      <c r="D8" s="208" t="str">
        <v>20 días</v>
      </c>
      <c r="E8" s="223" t="str">
        <v>Retención</v>
      </c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</row>
    <row r="9" ht="15" hidden="0" customHeight="1">
      <c r="A9" s="207" t="str">
        <v>Trabajo</v>
      </c>
      <c r="B9" s="208" t="str">
        <v>Bloque de enfoque</v>
      </c>
      <c r="C9" s="208" t="str">
        <v>Media</v>
      </c>
      <c r="D9" s="208" t="str">
        <v>18 días</v>
      </c>
      <c r="E9" s="223" t="str">
        <v>Productividad</v>
      </c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</row>
    <row r="10" ht="15" hidden="0" customHeight="1">
      <c r="A10" s="207" t="str">
        <v>Espiritualidad</v>
      </c>
      <c r="B10" s="208" t="str">
        <v>Gratitud diaria</v>
      </c>
      <c r="C10" s="208" t="str">
        <v>Fácil</v>
      </c>
      <c r="D10" s="208" t="str">
        <v>25 días</v>
      </c>
      <c r="E10" s="223" t="str">
        <v>Bienestar</v>
      </c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3"/>
    </row>
    <row r="11" ht="15" hidden="0" customHeight="1">
      <c r="A11" s="207" t="str">
        <v>Finanzas</v>
      </c>
      <c r="B11" s="208" t="str">
        <v>Registrar gastos</v>
      </c>
      <c r="C11" s="208" t="str">
        <v>Fácil</v>
      </c>
      <c r="D11" s="208" t="str">
        <v>15 días</v>
      </c>
      <c r="E11" s="223" t="str">
        <v>Control</v>
      </c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  <c r="AY11" s="183"/>
      <c r="AZ11" s="183"/>
    </row>
    <row r="12" ht="15" hidden="0" customHeight="1">
      <c r="A12" s="207" t="str">
        <v>Lectura</v>
      </c>
      <c r="B12" s="208" t="str">
        <v>Leer 10 páginas</v>
      </c>
      <c r="C12" s="208" t="str">
        <v>Fácil</v>
      </c>
      <c r="D12" s="208" t="str">
        <v>22 días</v>
      </c>
      <c r="E12" s="223" t="str">
        <v>Aprendizaje</v>
      </c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/>
      <c r="AZ12" s="183"/>
    </row>
    <row r="13" ht="15" hidden="0" customHeight="1">
      <c r="A13" s="207" t="str">
        <v>Descanso</v>
      </c>
      <c r="B13" s="208" t="str">
        <v>Dormir sin pantalla</v>
      </c>
      <c r="C13" s="208" t="str">
        <v>Media</v>
      </c>
      <c r="D13" s="208" t="str">
        <v>20 días</v>
      </c>
      <c r="E13" s="223" t="str">
        <v>Sueño</v>
      </c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</row>
    <row r="14" ht="15" hidden="0" customHeight="1">
      <c r="A14" s="207" t="str">
        <v>Alimentación</v>
      </c>
      <c r="B14" s="208" t="str">
        <v>Comida casera</v>
      </c>
      <c r="C14" s="208" t="str">
        <v>Media</v>
      </c>
      <c r="D14" s="208" t="str">
        <v>18 días</v>
      </c>
      <c r="E14" s="223" t="str">
        <v>Nutrición</v>
      </c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</row>
    <row r="15" ht="15" hidden="0" customHeight="1">
      <c r="A15" s="207" t="str">
        <v>Productividad</v>
      </c>
      <c r="B15" s="208" t="str">
        <v>Planificar 3 prioridades</v>
      </c>
      <c r="C15" s="208" t="str">
        <v>Fácil</v>
      </c>
      <c r="D15" s="208" t="str">
        <v>25 días</v>
      </c>
      <c r="E15" s="223" t="str">
        <v>Claridad</v>
      </c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3"/>
      <c r="AX15" s="183"/>
      <c r="AY15" s="183"/>
      <c r="AZ15" s="183"/>
    </row>
    <row r="16" ht="15" hidden="0" customHeight="1">
      <c r="A16" s="207" t="str">
        <v>Personal</v>
      </c>
      <c r="B16" s="208" t="str">
        <v>Ordenar 10 minutos</v>
      </c>
      <c r="C16" s="208" t="str">
        <v>Fácil</v>
      </c>
      <c r="D16" s="208" t="str">
        <v>20 días</v>
      </c>
      <c r="E16" s="223" t="str">
        <v>Ambiente</v>
      </c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</row>
    <row r="17" ht="15" hidden="0" customHeight="1">
      <c r="A17" s="207" t="str">
        <v>Salud</v>
      </c>
      <c r="B17" s="208" t="str">
        <v>Estiramiento</v>
      </c>
      <c r="C17" s="208" t="str">
        <v>Fácil</v>
      </c>
      <c r="D17" s="208" t="str">
        <v>20 días</v>
      </c>
      <c r="E17" s="223" t="str">
        <v>Movilidad</v>
      </c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</row>
    <row r="18" ht="15" hidden="0" customHeight="1">
      <c r="A18" s="207" t="str">
        <v>Ejercicio</v>
      </c>
      <c r="B18" s="208" t="str">
        <v>Fuerza 20 minutos</v>
      </c>
      <c r="C18" s="208" t="str">
        <v>Media</v>
      </c>
      <c r="D18" s="208" t="str">
        <v>12 días</v>
      </c>
      <c r="E18" s="223" t="str">
        <v>Condición</v>
      </c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</row>
    <row r="19" ht="15" hidden="0" customHeight="1">
      <c r="A19" s="207" t="str">
        <v>Estudio</v>
      </c>
      <c r="B19" s="208" t="str">
        <v>Práctica activa</v>
      </c>
      <c r="C19" s="208" t="str">
        <v>Media</v>
      </c>
      <c r="D19" s="208" t="str">
        <v>16 días</v>
      </c>
      <c r="E19" s="223" t="str">
        <v>Dominio</v>
      </c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</row>
    <row r="20" ht="15" hidden="0" customHeight="1">
      <c r="A20" s="207" t="str">
        <v>Finanzas</v>
      </c>
      <c r="B20" s="208" t="str">
        <v>Ahorrar monto fijo</v>
      </c>
      <c r="C20" s="208" t="str">
        <v>Media</v>
      </c>
      <c r="D20" s="208" t="str">
        <v>4 semanas</v>
      </c>
      <c r="E20" s="223" t="str">
        <v>Disciplina</v>
      </c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183"/>
      <c r="AX20" s="183"/>
      <c r="AY20" s="183"/>
      <c r="AZ20" s="183"/>
    </row>
    <row r="21" ht="15" hidden="0" customHeight="1">
      <c r="A21" s="207" t="str">
        <v>Lectura</v>
      </c>
      <c r="B21" s="208" t="str">
        <v>Resumen de lectura</v>
      </c>
      <c r="C21" s="208" t="str">
        <v>Fácil</v>
      </c>
      <c r="D21" s="208" t="str">
        <v>12 días</v>
      </c>
      <c r="E21" s="223" t="str">
        <v>Comprensión</v>
      </c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</row>
    <row r="22" ht="15" hidden="0" customHeight="1">
      <c r="A22" s="207" t="str">
        <v>Descanso</v>
      </c>
      <c r="B22" s="208" t="str">
        <v>Rutina nocturna</v>
      </c>
      <c r="C22" s="208" t="str">
        <v>Media</v>
      </c>
      <c r="D22" s="208" t="str">
        <v>20 días</v>
      </c>
      <c r="E22" s="223" t="str">
        <v>Recuperación</v>
      </c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  <c r="AS22" s="183"/>
      <c r="AT22" s="183"/>
      <c r="AU22" s="183"/>
      <c r="AV22" s="183"/>
      <c r="AW22" s="183"/>
      <c r="AX22" s="183"/>
      <c r="AY22" s="183"/>
      <c r="AZ22" s="183"/>
    </row>
    <row r="23" ht="15" hidden="0" customHeight="1">
      <c r="A23" s="207" t="str">
        <v>Alimentación</v>
      </c>
      <c r="B23" s="208" t="str">
        <v>Menos azúcar</v>
      </c>
      <c r="C23" s="208" t="str">
        <v>Media</v>
      </c>
      <c r="D23" s="208" t="str">
        <v>22 días</v>
      </c>
      <c r="E23" s="223" t="str">
        <v>Energía</v>
      </c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83"/>
    </row>
    <row r="24" ht="15" hidden="0" customHeight="1">
      <c r="A24" s="207" t="str">
        <v>Productividad</v>
      </c>
      <c r="B24" s="208" t="str">
        <v>Revisar calendario</v>
      </c>
      <c r="C24" s="208" t="str">
        <v>Fácil</v>
      </c>
      <c r="D24" s="208" t="str">
        <v>25 días</v>
      </c>
      <c r="E24" s="223" t="str">
        <v>Orden</v>
      </c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  <c r="AS24" s="183"/>
      <c r="AT24" s="183"/>
      <c r="AU24" s="183"/>
      <c r="AV24" s="183"/>
      <c r="AW24" s="183"/>
      <c r="AX24" s="183"/>
      <c r="AY24" s="183"/>
      <c r="AZ24" s="183"/>
    </row>
    <row r="25" ht="15" hidden="0" customHeight="1">
      <c r="A25" s="210" t="str">
        <v>Personal</v>
      </c>
      <c r="B25" s="211" t="str">
        <v>Afirmación diaria</v>
      </c>
      <c r="C25" s="211" t="str">
        <v>Fácil</v>
      </c>
      <c r="D25" s="211" t="str">
        <v>25 días</v>
      </c>
      <c r="E25" s="224" t="str">
        <v>Confianza</v>
      </c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</row>
    <row r="26" ht="15" hidden="0" customHeight="1">
      <c r="A26" s="183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  <c r="AS26" s="183"/>
      <c r="AT26" s="183"/>
      <c r="AU26" s="183"/>
      <c r="AV26" s="183"/>
      <c r="AW26" s="183"/>
      <c r="AX26" s="183"/>
      <c r="AY26" s="183"/>
      <c r="AZ26" s="183"/>
    </row>
    <row r="27" ht="15" hidden="0" customHeight="1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3"/>
      <c r="AX27" s="183"/>
      <c r="AY27" s="183"/>
      <c r="AZ27" s="183"/>
    </row>
    <row r="28" ht="15" hidden="0" customHeight="1">
      <c r="A28" s="183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183"/>
      <c r="AR28" s="183"/>
      <c r="AS28" s="183"/>
      <c r="AT28" s="183"/>
      <c r="AU28" s="183"/>
      <c r="AV28" s="183"/>
      <c r="AW28" s="183"/>
      <c r="AX28" s="183"/>
      <c r="AY28" s="183"/>
      <c r="AZ28" s="183"/>
    </row>
    <row r="29" ht="15" hidden="0" customHeight="1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3"/>
      <c r="AX29" s="183"/>
      <c r="AY29" s="183"/>
      <c r="AZ29" s="183"/>
    </row>
    <row r="30" ht="15" hidden="0" customHeight="1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  <c r="AU30" s="183"/>
      <c r="AV30" s="183"/>
      <c r="AW30" s="183"/>
      <c r="AX30" s="183"/>
      <c r="AY30" s="183"/>
      <c r="AZ30" s="183"/>
    </row>
    <row r="31" ht="15" hidden="0" customHeight="1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3"/>
      <c r="AX31" s="183"/>
      <c r="AY31" s="183"/>
      <c r="AZ31" s="183"/>
    </row>
    <row r="32" ht="15" hidden="0" customHeight="1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  <c r="AU32" s="183"/>
      <c r="AV32" s="183"/>
      <c r="AW32" s="183"/>
      <c r="AX32" s="183"/>
      <c r="AY32" s="183"/>
      <c r="AZ32" s="183"/>
    </row>
    <row r="33" ht="15" hidden="0" customHeight="1">
      <c r="A33" s="183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3"/>
      <c r="AX33" s="183"/>
      <c r="AY33" s="183"/>
      <c r="AZ33" s="183"/>
    </row>
    <row r="34" ht="15" hidden="0" customHeight="1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3"/>
    </row>
    <row r="35" ht="15" hidden="0" customHeight="1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</row>
    <row r="36" ht="15" hidden="0" customHeight="1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83"/>
      <c r="AY36" s="183"/>
      <c r="AZ36" s="183"/>
    </row>
    <row r="37" ht="15" hidden="0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3"/>
      <c r="AX37" s="183"/>
      <c r="AY37" s="183"/>
      <c r="AZ37" s="183"/>
    </row>
    <row r="38" ht="15" hidden="0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3"/>
      <c r="AQ38" s="183"/>
      <c r="AR38" s="183"/>
      <c r="AS38" s="183"/>
      <c r="AT38" s="183"/>
      <c r="AU38" s="183"/>
      <c r="AV38" s="183"/>
      <c r="AW38" s="183"/>
      <c r="AX38" s="183"/>
      <c r="AY38" s="183"/>
      <c r="AZ38" s="183"/>
    </row>
    <row r="39" ht="15" hidden="0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</row>
    <row r="40" ht="15" hidden="0" customHeight="1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  <c r="AO40" s="183"/>
      <c r="AP40" s="183"/>
      <c r="AQ40" s="183"/>
      <c r="AR40" s="183"/>
      <c r="AS40" s="183"/>
      <c r="AT40" s="183"/>
      <c r="AU40" s="183"/>
      <c r="AV40" s="183"/>
      <c r="AW40" s="183"/>
      <c r="AX40" s="183"/>
      <c r="AY40" s="183"/>
      <c r="AZ40" s="183"/>
    </row>
    <row r="41" ht="15" hidden="0" customHeight="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</row>
    <row r="42" ht="15" hidden="0" customHeight="1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</row>
    <row r="43" ht="15" hidden="0" customHeight="1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</row>
    <row r="44" ht="15" hidden="0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</row>
    <row r="45" ht="15" hidden="0" customHeight="1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</row>
    <row r="46" ht="15" hidden="0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</row>
    <row r="47" ht="15" hidden="0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3"/>
      <c r="AX47" s="183"/>
      <c r="AY47" s="183"/>
      <c r="AZ47" s="183"/>
    </row>
    <row r="48" ht="15" hidden="0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  <c r="AS48" s="183"/>
      <c r="AT48" s="183"/>
      <c r="AU48" s="183"/>
      <c r="AV48" s="183"/>
      <c r="AW48" s="183"/>
      <c r="AX48" s="183"/>
      <c r="AY48" s="183"/>
      <c r="AZ48" s="183"/>
    </row>
    <row r="49" ht="15" hidden="0" customHeight="1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  <c r="AY49" s="183"/>
      <c r="AZ49" s="183"/>
    </row>
    <row r="50" ht="15" hidden="0" customHeight="1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</row>
    <row r="51" ht="15" hidden="0" customHeight="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</row>
    <row r="52" ht="15" hidden="0" customHeight="1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</row>
    <row r="53" ht="15" hidden="0" customHeight="1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</row>
    <row r="54" ht="15" hidden="0" customHeight="1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</row>
    <row r="55" ht="15" hidden="0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</row>
    <row r="56" ht="15" hidden="0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</row>
    <row r="57" ht="15" hidden="0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</row>
    <row r="58" ht="15" hidden="0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</row>
    <row r="59" ht="15" hidden="0" customHeight="1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</row>
    <row r="60" ht="15" hidden="0" customHeight="1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</row>
    <row r="61" ht="15" hidden="0" customHeight="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</row>
    <row r="62" ht="15" hidden="0" customHeight="1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</row>
    <row r="63" ht="15" hidden="0" customHeight="1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</row>
    <row r="64" ht="15" hidden="0" customHeight="1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</row>
    <row r="65" ht="15" hidden="0" customHeight="1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</row>
    <row r="66" ht="15" hidden="0" customHeight="1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</row>
    <row r="67" ht="15" hidden="0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</row>
    <row r="68" ht="15" hidden="0" customHeight="1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</row>
    <row r="69" ht="15" hidden="0" customHeight="1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</row>
    <row r="70" ht="15" hidden="0" customHeight="1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</row>
    <row r="71" ht="15" hidden="0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</row>
    <row r="72" ht="15" hidden="0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</row>
    <row r="73" ht="15" hidden="0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</row>
    <row r="74" ht="15" hidden="0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</row>
    <row r="75" ht="15" hidden="0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</row>
    <row r="76" ht="15" hidden="0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</row>
    <row r="77" ht="15" hidden="0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</row>
    <row r="78" ht="15" hidden="0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</row>
    <row r="79" ht="15" hidden="0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</row>
    <row r="80" ht="15" hidden="0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</row>
    <row r="81" ht="15" hidden="0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</row>
    <row r="82" ht="15" hidden="0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</row>
    <row r="83" ht="15" hidden="0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</row>
    <row r="84" ht="15" hidden="0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</row>
    <row r="85" ht="15" hidden="0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</row>
    <row r="86" ht="15" hidden="0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3"/>
      <c r="AO86" s="183"/>
      <c r="AP86" s="183"/>
      <c r="AQ86" s="183"/>
      <c r="AR86" s="183"/>
      <c r="AS86" s="183"/>
      <c r="AT86" s="183"/>
      <c r="AU86" s="183"/>
      <c r="AV86" s="183"/>
      <c r="AW86" s="183"/>
      <c r="AX86" s="183"/>
      <c r="AY86" s="183"/>
      <c r="AZ86" s="183"/>
    </row>
    <row r="87" ht="15" hidden="0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Q87" s="183"/>
      <c r="AR87" s="183"/>
      <c r="AS87" s="183"/>
      <c r="AT87" s="183"/>
      <c r="AU87" s="183"/>
      <c r="AV87" s="183"/>
      <c r="AW87" s="183"/>
      <c r="AX87" s="183"/>
      <c r="AY87" s="183"/>
      <c r="AZ87" s="183"/>
    </row>
    <row r="88" ht="15" hidden="0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  <c r="AS88" s="183"/>
      <c r="AT88" s="183"/>
      <c r="AU88" s="183"/>
      <c r="AV88" s="183"/>
      <c r="AW88" s="183"/>
      <c r="AX88" s="183"/>
      <c r="AY88" s="183"/>
      <c r="AZ88" s="183"/>
    </row>
    <row r="89" ht="15" hidden="0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  <c r="AS89" s="183"/>
      <c r="AT89" s="183"/>
      <c r="AU89" s="183"/>
      <c r="AV89" s="183"/>
      <c r="AW89" s="183"/>
      <c r="AX89" s="183"/>
      <c r="AY89" s="183"/>
      <c r="AZ89" s="183"/>
    </row>
    <row r="90" ht="15" hidden="0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  <c r="AP90" s="183"/>
      <c r="AQ90" s="183"/>
      <c r="AR90" s="183"/>
      <c r="AS90" s="183"/>
      <c r="AT90" s="183"/>
      <c r="AU90" s="183"/>
      <c r="AV90" s="183"/>
      <c r="AW90" s="183"/>
      <c r="AX90" s="183"/>
      <c r="AY90" s="183"/>
      <c r="AZ90" s="183"/>
    </row>
  </sheetData>
  <sheetProtection sheet="1" objects="1" scenarios="1"/>
  <mergeCells>
    <mergeCell ref="A1:E2"/>
  </mergeCells>
  <pageMargins left="0.7" right="0.7" top="0.75" bottom="0.75" header="0.3" footer="0.3"/>
  <tableParts count="1">
    <tablePart r:id="R555bba15046247bc"/>
  </tableParts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" hidden="0" customWidth="1"/>
    <col min="2" max="2" width="13" hidden="0" customWidth="1"/>
    <col min="3" max="3" width="13" hidden="0" customWidth="1"/>
    <col min="4" max="4" width="13" hidden="0" customWidth="1"/>
    <col min="5" max="5" width="13" hidden="0" customWidth="1"/>
    <col min="6" max="6" width="13" hidden="0" customWidth="1"/>
    <col min="7" max="7" width="13" hidden="0" customWidth="1"/>
    <col min="8" max="8" width="13" hidden="0" customWidth="1"/>
    <col min="9" max="9" width="13" hidden="0" customWidth="1"/>
    <col min="10" max="10" width="13" hidden="0" customWidth="1"/>
    <col min="11" max="11" width="13" hidden="0" customWidth="1"/>
    <col min="12" max="12" width="13" hidden="0" customWidth="1"/>
    <col min="13" max="13" width="13" hidden="0" customWidth="1"/>
    <col min="14" max="14" width="13" hidden="0" customWidth="1"/>
    <col min="15" max="15" width="13" hidden="0" customWidth="1"/>
    <col min="16" max="16" width="13" hidden="0" customWidth="1"/>
    <col min="17" max="17" width="13" hidden="0" customWidth="1"/>
    <col min="18" max="18" width="13" hidden="0" customWidth="1"/>
    <col min="19" max="19" width="13" hidden="0" customWidth="1"/>
    <col min="20" max="20" width="13" hidden="0" customWidth="1"/>
    <col min="21" max="21" width="13" hidden="0" customWidth="1"/>
    <col min="22" max="22" width="13" hidden="0" customWidth="1"/>
    <col min="23" max="23" width="13" hidden="0" customWidth="1"/>
    <col min="24" max="24" width="13" hidden="0" customWidth="1"/>
    <col min="25" max="25" width="13" hidden="0" customWidth="1"/>
    <col min="26" max="26" width="13" hidden="0" customWidth="1"/>
  </cols>
  <sheetData>
    <row r="1" ht="26.399999618530273" hidden="0" customHeight="1">
      <c r="A1" s="182" t="str">
        <v>Data / Cálculos</v>
      </c>
      <c r="B1" s="182" t="str">
        <v>Data / Cálculos</v>
      </c>
      <c r="C1" s="182" t="str">
        <v>Data / Cálculos</v>
      </c>
      <c r="D1" s="182" t="str">
        <v>Data / Cálculos</v>
      </c>
      <c r="E1" s="182" t="str">
        <v>Data / Cálculos</v>
      </c>
      <c r="F1" s="182" t="str">
        <v>Data / Cálculos</v>
      </c>
      <c r="G1" s="182" t="str">
        <v>Data / Cálculos</v>
      </c>
      <c r="H1" s="182" t="str">
        <v>Data / Cálculos</v>
      </c>
      <c r="I1" s="182" t="str">
        <v>Data / Cálculos</v>
      </c>
      <c r="J1" s="182" t="str">
        <v>Data / Cálculos</v>
      </c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3"/>
      <c r="AY1" s="183"/>
      <c r="AZ1" s="183"/>
    </row>
    <row r="2" ht="15" hidden="0" customHeight="1">
      <c r="A2" s="216" t="str">
        <v>ID</v>
      </c>
      <c r="B2" s="217" t="str">
        <v>Hábito</v>
      </c>
      <c r="C2" s="217" t="str">
        <v>Categoría</v>
      </c>
      <c r="D2" s="217" t="str">
        <v>Meta</v>
      </c>
      <c r="E2" s="217" t="str">
        <v>Sí</v>
      </c>
      <c r="F2" s="217" t="str">
        <v>Parcial</v>
      </c>
      <c r="G2" s="217" t="str">
        <v>No</v>
      </c>
      <c r="H2" s="217" t="str">
        <v>%</v>
      </c>
      <c r="I2" s="217" t="str">
        <v>Racha</v>
      </c>
      <c r="J2" s="218" t="str">
        <v>Mejor</v>
      </c>
      <c r="K2" s="183"/>
      <c r="L2" s="216" t="str">
        <v>Hábito</v>
      </c>
      <c r="M2" s="217" t="str">
        <v>%</v>
      </c>
      <c r="N2" s="218" t="str">
        <v>Categoría</v>
      </c>
      <c r="O2" s="183"/>
      <c r="P2" s="216" t="str">
        <v>Categoría</v>
      </c>
      <c r="Q2" s="217" t="str">
        <v>%</v>
      </c>
      <c r="R2" s="218" t="str">
        <v>Cantidad</v>
      </c>
      <c r="S2" s="183"/>
      <c r="T2" s="198" t="str">
        <v>Rank</v>
      </c>
      <c r="U2" s="199" t="str">
        <v>Mejor hábito</v>
      </c>
      <c r="V2" s="200" t="str">
        <v>%</v>
      </c>
      <c r="W2" s="183"/>
      <c r="X2" s="201" t="str">
        <v>Rank</v>
      </c>
      <c r="Y2" s="202" t="str">
        <v>Por mejorar</v>
      </c>
      <c r="Z2" s="203" t="str">
        <v>%</v>
      </c>
      <c r="AA2" s="183"/>
      <c r="AB2" s="216" t="str">
        <v>Día</v>
      </c>
      <c r="AC2" s="218" t="str">
        <v>% Día</v>
      </c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</row>
    <row r="3" ht="15" hidden="0" customHeight="1">
      <c r="A3" s="204" t="str">
        <f>'Configuracion'!A5</f>
        <v>H01</v>
      </c>
      <c r="B3" s="205" t="str">
        <f>'Configuracion'!B5</f>
        <v>Agua 8 vasos</v>
      </c>
      <c r="C3" s="205" t="str">
        <f>'Configuracion'!C5</f>
        <v>Salud</v>
      </c>
      <c r="D3" s="205" t="n">
        <f>'Configuracion'!E5</f>
        <v>25</v>
      </c>
      <c r="E3" s="205" t="n">
        <f>COUNTIF('Registro Diario'!D6:AH6,"Sí")</f>
        <v>19</v>
      </c>
      <c r="F3" s="205" t="n">
        <f>COUNTIF('Registro Diario'!D6:AH6,"Parcial")</f>
        <v>5</v>
      </c>
      <c r="G3" s="205" t="n">
        <f>COUNTIF('Registro Diario'!D6:AH6,"No")</f>
        <v>7</v>
      </c>
      <c r="H3" s="246" t="n">
        <f>IFERROR(MIN(1,(E3+0.5*F3)/D3),0)</f>
        <v>0.86</v>
      </c>
      <c r="I3" s="205" t="n">
        <f>INDEX(D26:AH26,1,'Registro Diario'!$F$3)</f>
        <v>0</v>
      </c>
      <c r="J3" s="222" t="n">
        <f>MAX(D26:AH26)</f>
        <v>24</v>
      </c>
      <c r="K3" s="183"/>
      <c r="L3" s="204" t="str">
        <f>B3</f>
        <v>Agua 8 vasos</v>
      </c>
      <c r="M3" s="246" t="n">
        <f>H3</f>
        <v>0.86</v>
      </c>
      <c r="N3" s="222" t="str">
        <f>C3</f>
        <v>Salud</v>
      </c>
      <c r="O3" s="183"/>
      <c r="P3" s="204" t="str">
        <v>Salud</v>
      </c>
      <c r="Q3" s="246" t="n">
        <f>IFERROR(AVERAGEIF($C$3:$C$22,P3,$H$3:$H$22),0)</f>
        <v>0.86</v>
      </c>
      <c r="R3" s="222" t="n">
        <f>COUNTIF($C$3:$C$22,P3)</f>
        <v>1</v>
      </c>
      <c r="S3" s="183"/>
      <c r="T3" s="204" t="n">
        <f>1</f>
        <v>1</v>
      </c>
      <c r="U3" s="205" t="str">
        <f>IFERROR(INDEX($B$3:$B$12,MATCH(LARGE($H$3:$H$12,1),$H$3:$H$12,0)),"")</f>
        <v>Caminar 30 min</v>
      </c>
      <c r="V3" s="206" t="n">
        <f>IFERROR(LARGE($H$3:$H$12,1),0)</f>
        <v>1</v>
      </c>
      <c r="W3" s="183"/>
      <c r="X3" s="204" t="n">
        <f>1</f>
        <v>1</v>
      </c>
      <c r="Y3" s="205" t="str">
        <f>IFERROR(INDEX($B$3:$B$12,MATCH(SMALL($H$3:$H$12,1),$H$3:$H$12,0)),"")</f>
        <v>Planificar el día</v>
      </c>
      <c r="Z3" s="206" t="n">
        <f>IFERROR(SMALL($H$3:$H$12,1),0)</f>
        <v>0.8269230769230769</v>
      </c>
      <c r="AA3" s="183"/>
      <c r="AB3" s="204" t="n">
        <f>A49</f>
        <v>1</v>
      </c>
      <c r="AC3" s="206" t="n">
        <f>C49</f>
        <v>0.65</v>
      </c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</row>
    <row r="4" ht="15" hidden="0" customHeight="1">
      <c r="A4" s="207" t="str">
        <f>'Configuracion'!A6</f>
        <v>H02</v>
      </c>
      <c r="B4" s="208" t="str">
        <f>'Configuracion'!B6</f>
        <v>Caminar 30 min</v>
      </c>
      <c r="C4" s="208" t="str">
        <f>'Configuracion'!C6</f>
        <v>Ejercicio</v>
      </c>
      <c r="D4" s="208" t="n">
        <f>'Configuracion'!E6</f>
        <v>20</v>
      </c>
      <c r="E4" s="208" t="n">
        <f>COUNTIF('Registro Diario'!D7:AH7,"Sí")</f>
        <v>20</v>
      </c>
      <c r="F4" s="208" t="n">
        <f>COUNTIF('Registro Diario'!D7:AH7,"Parcial")</f>
        <v>4</v>
      </c>
      <c r="G4" s="208" t="n">
        <f>COUNTIF('Registro Diario'!D7:AH7,"No")</f>
        <v>7</v>
      </c>
      <c r="H4" s="248" t="n">
        <f>IFERROR(MIN(1,(E4+0.5*F4)/D4),0)</f>
        <v>1</v>
      </c>
      <c r="I4" s="208" t="n">
        <f>INDEX(D27:AH27,1,'Registro Diario'!$F$3)</f>
        <v>2</v>
      </c>
      <c r="J4" s="223" t="n">
        <f>MAX(D27:AH27)</f>
        <v>25</v>
      </c>
      <c r="K4" s="183"/>
      <c r="L4" s="207" t="str">
        <f>B4</f>
        <v>Caminar 30 min</v>
      </c>
      <c r="M4" s="248" t="n">
        <f>H4</f>
        <v>1</v>
      </c>
      <c r="N4" s="223" t="str">
        <f>C4</f>
        <v>Ejercicio</v>
      </c>
      <c r="O4" s="183"/>
      <c r="P4" s="207" t="str">
        <v>Ejercicio</v>
      </c>
      <c r="Q4" s="248" t="n">
        <f>IFERROR(AVERAGEIF($C$3:$C$22,P4,$H$3:$H$22),0)</f>
        <v>1</v>
      </c>
      <c r="R4" s="223" t="n">
        <f>COUNTIF($C$3:$C$22,P4)</f>
        <v>1</v>
      </c>
      <c r="S4" s="183"/>
      <c r="T4" s="207" t="n">
        <f>2</f>
        <v>2</v>
      </c>
      <c r="U4" s="208" t="str">
        <f>IFERROR(INDEX($B$3:$B$12,MATCH(LARGE($H$3:$H$12,2),$H$3:$H$12,0)),"")</f>
        <v>Caminar 30 min</v>
      </c>
      <c r="V4" s="209" t="n">
        <f>IFERROR(LARGE($H$3:$H$12,2),0)</f>
        <v>1</v>
      </c>
      <c r="W4" s="183"/>
      <c r="X4" s="207" t="n">
        <f>2</f>
        <v>2</v>
      </c>
      <c r="Y4" s="208" t="str">
        <f>IFERROR(INDEX($B$3:$B$12,MATCH(SMALL($H$3:$H$12,2),$H$3:$H$12,0)),"")</f>
        <v>Agua 8 vasos</v>
      </c>
      <c r="Z4" s="209" t="n">
        <f>IFERROR(SMALL($H$3:$H$12,2),0)</f>
        <v>0.86</v>
      </c>
      <c r="AA4" s="183"/>
      <c r="AB4" s="207" t="n">
        <f>A50</f>
        <v>2</v>
      </c>
      <c r="AC4" s="209" t="n">
        <f>C50</f>
        <v>0.7</v>
      </c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</row>
    <row r="5" ht="15" hidden="0" customHeight="1">
      <c r="A5" s="207" t="str">
        <f>'Configuracion'!A7</f>
        <v>H03</v>
      </c>
      <c r="B5" s="208" t="str">
        <f>'Configuracion'!B7</f>
        <v>Leer 10 páginas</v>
      </c>
      <c r="C5" s="208" t="str">
        <f>'Configuracion'!C7</f>
        <v>Lectura</v>
      </c>
      <c r="D5" s="208" t="n">
        <f>'Configuracion'!E7</f>
        <v>22</v>
      </c>
      <c r="E5" s="208" t="n">
        <f>COUNTIF('Registro Diario'!D8:AH8,"Sí")</f>
        <v>19</v>
      </c>
      <c r="F5" s="208" t="n">
        <f>COUNTIF('Registro Diario'!D8:AH8,"Parcial")</f>
        <v>4</v>
      </c>
      <c r="G5" s="208" t="n">
        <f>COUNTIF('Registro Diario'!D8:AH8,"No")</f>
        <v>8</v>
      </c>
      <c r="H5" s="248" t="n">
        <f>IFERROR(MIN(1,(E5+0.5*F5)/D5),0)</f>
        <v>0.9545454545454546</v>
      </c>
      <c r="I5" s="208" t="n">
        <f>INDEX(D28:AH28,1,'Registro Diario'!$F$3)</f>
        <v>0</v>
      </c>
      <c r="J5" s="223" t="n">
        <f>MAX(D28:AH28)</f>
        <v>26</v>
      </c>
      <c r="K5" s="183"/>
      <c r="L5" s="207" t="str">
        <f>B5</f>
        <v>Leer 10 páginas</v>
      </c>
      <c r="M5" s="248" t="n">
        <f>H5</f>
        <v>0.9545454545454546</v>
      </c>
      <c r="N5" s="223" t="str">
        <f>C5</f>
        <v>Lectura</v>
      </c>
      <c r="O5" s="183"/>
      <c r="P5" s="207" t="str">
        <v>Estudio</v>
      </c>
      <c r="Q5" s="248" t="n">
        <f>IFERROR(AVERAGEIF($C$3:$C$22,P5,$H$3:$H$22),0)</f>
        <v>1</v>
      </c>
      <c r="R5" s="223" t="n">
        <f>COUNTIF($C$3:$C$22,P5)</f>
        <v>1</v>
      </c>
      <c r="S5" s="183"/>
      <c r="T5" s="207" t="n">
        <f>3</f>
        <v>3</v>
      </c>
      <c r="U5" s="208" t="str">
        <f>IFERROR(INDEX($B$3:$B$12,MATCH(LARGE($H$3:$H$12,3),$H$3:$H$12,0)),"")</f>
        <v>Caminar 30 min</v>
      </c>
      <c r="V5" s="209" t="n">
        <f>IFERROR(LARGE($H$3:$H$12,3),0)</f>
        <v>1</v>
      </c>
      <c r="W5" s="183"/>
      <c r="X5" s="207" t="n">
        <f>3</f>
        <v>3</v>
      </c>
      <c r="Y5" s="208" t="str">
        <f>IFERROR(INDEX($B$3:$B$12,MATCH(SMALL($H$3:$H$12,3),$H$3:$H$12,0)),"")</f>
        <v>Dormir 7+ horas</v>
      </c>
      <c r="Z5" s="209" t="n">
        <f>IFERROR(SMALL($H$3:$H$12,3),0)</f>
        <v>0.8958333333333334</v>
      </c>
      <c r="AA5" s="183"/>
      <c r="AB5" s="207" t="n">
        <f>A51</f>
        <v>3</v>
      </c>
      <c r="AC5" s="209" t="n">
        <f>C51</f>
        <v>0.7</v>
      </c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</row>
    <row r="6" ht="15" hidden="0" customHeight="1">
      <c r="A6" s="207" t="str">
        <f>'Configuracion'!A8</f>
        <v>H04</v>
      </c>
      <c r="B6" s="208" t="str">
        <f>'Configuracion'!B8</f>
        <v>Dormir 7+ horas</v>
      </c>
      <c r="C6" s="208" t="str">
        <f>'Configuracion'!C8</f>
        <v>Descanso</v>
      </c>
      <c r="D6" s="208" t="n">
        <f>'Configuracion'!E8</f>
        <v>24</v>
      </c>
      <c r="E6" s="208" t="n">
        <f>COUNTIF('Registro Diario'!D9:AH9,"Sí")</f>
        <v>19</v>
      </c>
      <c r="F6" s="208" t="n">
        <f>COUNTIF('Registro Diario'!D9:AH9,"Parcial")</f>
        <v>5</v>
      </c>
      <c r="G6" s="208" t="n">
        <f>COUNTIF('Registro Diario'!D9:AH9,"No")</f>
        <v>7</v>
      </c>
      <c r="H6" s="248" t="n">
        <f>IFERROR(MIN(1,(E6+0.5*F6)/D6),0)</f>
        <v>0.8958333333333334</v>
      </c>
      <c r="I6" s="208" t="n">
        <f>INDEX(D29:AH29,1,'Registro Diario'!$F$3)</f>
        <v>2</v>
      </c>
      <c r="J6" s="223" t="n">
        <f>MAX(D29:AH29)</f>
        <v>27</v>
      </c>
      <c r="K6" s="183"/>
      <c r="L6" s="207" t="str">
        <f>B6</f>
        <v>Dormir 7+ horas</v>
      </c>
      <c r="M6" s="248" t="n">
        <f>H6</f>
        <v>0.8958333333333334</v>
      </c>
      <c r="N6" s="223" t="str">
        <f>C6</f>
        <v>Descanso</v>
      </c>
      <c r="O6" s="183"/>
      <c r="P6" s="207" t="str">
        <v>Trabajo</v>
      </c>
      <c r="Q6" s="248" t="n">
        <f>IFERROR(AVERAGEIF($C$3:$C$22,P6,$H$3:$H$22),0)</f>
        <v>1</v>
      </c>
      <c r="R6" s="223" t="n">
        <f>COUNTIF($C$3:$C$22,P6)</f>
        <v>1</v>
      </c>
      <c r="S6" s="183"/>
      <c r="T6" s="207" t="n">
        <f>4</f>
        <v>4</v>
      </c>
      <c r="U6" s="208" t="str">
        <f>IFERROR(INDEX($B$3:$B$12,MATCH(LARGE($H$3:$H$12,4),$H$3:$H$12,0)),"")</f>
        <v>Caminar 30 min</v>
      </c>
      <c r="V6" s="209" t="n">
        <f>IFERROR(LARGE($H$3:$H$12,4),0)</f>
        <v>1</v>
      </c>
      <c r="W6" s="183"/>
      <c r="X6" s="207" t="n">
        <f>4</f>
        <v>4</v>
      </c>
      <c r="Y6" s="208" t="str">
        <f>IFERROR(INDEX($B$3:$B$12,MATCH(SMALL($H$3:$H$12,4),$H$3:$H$12,0)),"")</f>
        <v>Comida saludable</v>
      </c>
      <c r="Z6" s="209" t="n">
        <f>IFERROR(SMALL($H$3:$H$12,4),0)</f>
        <v>0.9166666666666666</v>
      </c>
      <c r="AA6" s="183"/>
      <c r="AB6" s="207" t="n">
        <f>A52</f>
        <v>4</v>
      </c>
      <c r="AC6" s="209" t="n">
        <f>C52</f>
        <v>0.8</v>
      </c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</row>
    <row r="7" ht="15" hidden="0" customHeight="1">
      <c r="A7" s="207" t="str">
        <f>'Configuracion'!A9</f>
        <v>H05</v>
      </c>
      <c r="B7" s="208" t="str">
        <f>'Configuracion'!B9</f>
        <v>Estudiar 45 min</v>
      </c>
      <c r="C7" s="208" t="str">
        <f>'Configuracion'!C9</f>
        <v>Estudio</v>
      </c>
      <c r="D7" s="208" t="n">
        <f>'Configuracion'!E9</f>
        <v>20</v>
      </c>
      <c r="E7" s="208" t="n">
        <f>COUNTIF('Registro Diario'!D10:AH10,"Sí")</f>
        <v>18</v>
      </c>
      <c r="F7" s="208" t="n">
        <f>COUNTIF('Registro Diario'!D10:AH10,"Parcial")</f>
        <v>5</v>
      </c>
      <c r="G7" s="208" t="n">
        <f>COUNTIF('Registro Diario'!D10:AH10,"No")</f>
        <v>8</v>
      </c>
      <c r="H7" s="248" t="n">
        <f>IFERROR(MIN(1,(E7+0.5*F7)/D7),0)</f>
        <v>1</v>
      </c>
      <c r="I7" s="208" t="n">
        <f>INDEX(D30:AH30,1,'Registro Diario'!$F$3)</f>
        <v>0</v>
      </c>
      <c r="J7" s="223" t="n">
        <f>MAX(D30:AH30)</f>
        <v>28</v>
      </c>
      <c r="K7" s="183"/>
      <c r="L7" s="207" t="str">
        <f>B7</f>
        <v>Estudiar 45 min</v>
      </c>
      <c r="M7" s="248" t="n">
        <f>H7</f>
        <v>1</v>
      </c>
      <c r="N7" s="223" t="str">
        <f>C7</f>
        <v>Estudio</v>
      </c>
      <c r="O7" s="183"/>
      <c r="P7" s="207" t="str">
        <v>Espiritualidad</v>
      </c>
      <c r="Q7" s="248" t="n">
        <f>IFERROR(AVERAGEIF($C$3:$C$22,P7,$H$3:$H$22),0)</f>
        <v>1</v>
      </c>
      <c r="R7" s="223" t="n">
        <f>COUNTIF($C$3:$C$22,P7)</f>
        <v>1</v>
      </c>
      <c r="S7" s="183"/>
      <c r="T7" s="210" t="n">
        <f>5</f>
        <v>5</v>
      </c>
      <c r="U7" s="211" t="str">
        <f>IFERROR(INDEX($B$3:$B$12,MATCH(LARGE($H$3:$H$12,5),$H$3:$H$12,0)),"")</f>
        <v>Caminar 30 min</v>
      </c>
      <c r="V7" s="212" t="n">
        <f>IFERROR(LARGE($H$3:$H$12,5),0)</f>
        <v>1</v>
      </c>
      <c r="W7" s="183"/>
      <c r="X7" s="210" t="n">
        <f>5</f>
        <v>5</v>
      </c>
      <c r="Y7" s="211" t="str">
        <f>IFERROR(INDEX($B$3:$B$12,MATCH(SMALL($H$3:$H$12,5),$H$3:$H$12,0)),"")</f>
        <v>Leer 10 páginas</v>
      </c>
      <c r="Z7" s="212" t="n">
        <f>IFERROR(SMALL($H$3:$H$12,5),0)</f>
        <v>0.9545454545454546</v>
      </c>
      <c r="AA7" s="183"/>
      <c r="AB7" s="207" t="n">
        <f>A53</f>
        <v>5</v>
      </c>
      <c r="AC7" s="209" t="n">
        <f>C53</f>
        <v>0.65</v>
      </c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</row>
    <row r="8" ht="15" hidden="0" customHeight="1">
      <c r="A8" s="207" t="str">
        <f>'Configuracion'!A10</f>
        <v>H06</v>
      </c>
      <c r="B8" s="208" t="str">
        <f>'Configuracion'!B10</f>
        <v>Planificar el día</v>
      </c>
      <c r="C8" s="208" t="str">
        <f>'Configuracion'!C10</f>
        <v>Productividad</v>
      </c>
      <c r="D8" s="208" t="n">
        <f>'Configuracion'!E10</f>
        <v>26</v>
      </c>
      <c r="E8" s="208" t="n">
        <f>COUNTIF('Registro Diario'!D11:AH11,"Sí")</f>
        <v>19</v>
      </c>
      <c r="F8" s="208" t="n">
        <f>COUNTIF('Registro Diario'!D11:AH11,"Parcial")</f>
        <v>5</v>
      </c>
      <c r="G8" s="208" t="n">
        <f>COUNTIF('Registro Diario'!D11:AH11,"No")</f>
        <v>7</v>
      </c>
      <c r="H8" s="248" t="n">
        <f>IFERROR(MIN(1,(E8+0.5*F8)/D8),0)</f>
        <v>0.8269230769230769</v>
      </c>
      <c r="I8" s="208" t="n">
        <f>INDEX(D31:AH31,1,'Registro Diario'!$F$3)</f>
        <v>2</v>
      </c>
      <c r="J8" s="223" t="n">
        <f>MAX(D31:AH31)</f>
        <v>29</v>
      </c>
      <c r="K8" s="183"/>
      <c r="L8" s="207" t="str">
        <f>B8</f>
        <v>Planificar el día</v>
      </c>
      <c r="M8" s="248" t="n">
        <f>H8</f>
        <v>0.8269230769230769</v>
      </c>
      <c r="N8" s="223" t="str">
        <f>C8</f>
        <v>Productividad</v>
      </c>
      <c r="O8" s="183"/>
      <c r="P8" s="207" t="str">
        <v>Finanzas</v>
      </c>
      <c r="Q8" s="248" t="n">
        <f>IFERROR(AVERAGEIF($C$3:$C$22,P8,$H$3:$H$22),0)</f>
        <v>1</v>
      </c>
      <c r="R8" s="223" t="n">
        <f>COUNTIF($C$3:$C$22,P8)</f>
        <v>1</v>
      </c>
      <c r="S8" s="183"/>
      <c r="T8" s="183"/>
      <c r="U8" s="183"/>
      <c r="V8" s="183"/>
      <c r="W8" s="183"/>
      <c r="X8" s="183"/>
      <c r="Y8" s="183"/>
      <c r="Z8" s="183"/>
      <c r="AA8" s="183"/>
      <c r="AB8" s="207" t="n">
        <f>A54</f>
        <v>6</v>
      </c>
      <c r="AC8" s="209" t="n">
        <f>C54</f>
        <v>0.7</v>
      </c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</row>
    <row r="9" ht="15" hidden="0" customHeight="1">
      <c r="A9" s="207" t="str">
        <f>'Configuracion'!A11</f>
        <v>H07</v>
      </c>
      <c r="B9" s="208" t="str">
        <f>'Configuracion'!B11</f>
        <v>Registrar gastos</v>
      </c>
      <c r="C9" s="208" t="str">
        <f>'Configuracion'!C11</f>
        <v>Finanzas</v>
      </c>
      <c r="D9" s="208" t="n">
        <f>'Configuracion'!E11</f>
        <v>12</v>
      </c>
      <c r="E9" s="208" t="n">
        <f>COUNTIF('Registro Diario'!D12:AH12,"Sí")</f>
        <v>19</v>
      </c>
      <c r="F9" s="208" t="n">
        <f>COUNTIF('Registro Diario'!D12:AH12,"Parcial")</f>
        <v>5</v>
      </c>
      <c r="G9" s="208" t="n">
        <f>COUNTIF('Registro Diario'!D12:AH12,"No")</f>
        <v>7</v>
      </c>
      <c r="H9" s="248" t="n">
        <f>IFERROR(MIN(1,(E9+0.5*F9)/D9),0)</f>
        <v>1</v>
      </c>
      <c r="I9" s="208" t="n">
        <f>INDEX(D32:AH32,1,'Registro Diario'!$F$3)</f>
        <v>0</v>
      </c>
      <c r="J9" s="223" t="n">
        <f>MAX(D32:AH32)</f>
        <v>30</v>
      </c>
      <c r="K9" s="183"/>
      <c r="L9" s="207" t="str">
        <f>B9</f>
        <v>Registrar gastos</v>
      </c>
      <c r="M9" s="248" t="n">
        <f>H9</f>
        <v>1</v>
      </c>
      <c r="N9" s="223" t="str">
        <f>C9</f>
        <v>Finanzas</v>
      </c>
      <c r="O9" s="183"/>
      <c r="P9" s="207" t="str">
        <v>Lectura</v>
      </c>
      <c r="Q9" s="248" t="n">
        <f>IFERROR(AVERAGEIF($C$3:$C$22,P9,$H$3:$H$22),0)</f>
        <v>0.9545454545454546</v>
      </c>
      <c r="R9" s="223" t="n">
        <f>COUNTIF($C$3:$C$22,P9)</f>
        <v>1</v>
      </c>
      <c r="S9" s="183"/>
      <c r="T9" s="183"/>
      <c r="U9" s="183"/>
      <c r="V9" s="183"/>
      <c r="W9" s="183"/>
      <c r="X9" s="183"/>
      <c r="Y9" s="183"/>
      <c r="Z9" s="183"/>
      <c r="AA9" s="183"/>
      <c r="AB9" s="207" t="n">
        <f>A55</f>
        <v>7</v>
      </c>
      <c r="AC9" s="209" t="n">
        <f>C55</f>
        <v>0.65</v>
      </c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</row>
    <row r="10" ht="15" hidden="0" customHeight="1">
      <c r="A10" s="207" t="str">
        <f>'Configuracion'!A12</f>
        <v>H08</v>
      </c>
      <c r="B10" s="208" t="str">
        <f>'Configuracion'!B12</f>
        <v>Comida saludable</v>
      </c>
      <c r="C10" s="208" t="str">
        <f>'Configuracion'!C12</f>
        <v>Alimentación</v>
      </c>
      <c r="D10" s="208" t="n">
        <f>'Configuracion'!E12</f>
        <v>24</v>
      </c>
      <c r="E10" s="208" t="n">
        <f>COUNTIF('Registro Diario'!D13:AH13,"Sí")</f>
        <v>20</v>
      </c>
      <c r="F10" s="208" t="n">
        <f>COUNTIF('Registro Diario'!D13:AH13,"Parcial")</f>
        <v>4</v>
      </c>
      <c r="G10" s="208" t="n">
        <f>COUNTIF('Registro Diario'!D13:AH13,"No")</f>
        <v>7</v>
      </c>
      <c r="H10" s="248" t="n">
        <f>IFERROR(MIN(1,(E10+0.5*F10)/D10),0)</f>
        <v>0.9166666666666666</v>
      </c>
      <c r="I10" s="208" t="n">
        <f>INDEX(D33:AH33,1,'Registro Diario'!$F$3)</f>
        <v>3</v>
      </c>
      <c r="J10" s="223" t="n">
        <f>MAX(D33:AH33)</f>
        <v>31</v>
      </c>
      <c r="K10" s="183"/>
      <c r="L10" s="207" t="str">
        <f>B10</f>
        <v>Comida saludable</v>
      </c>
      <c r="M10" s="248" t="n">
        <f>H10</f>
        <v>0.9166666666666666</v>
      </c>
      <c r="N10" s="223" t="str">
        <f>C10</f>
        <v>Alimentación</v>
      </c>
      <c r="O10" s="183"/>
      <c r="P10" s="207" t="str">
        <v>Descanso</v>
      </c>
      <c r="Q10" s="248" t="n">
        <f>IFERROR(AVERAGEIF($C$3:$C$22,P10,$H$3:$H$22),0)</f>
        <v>0.8958333333333334</v>
      </c>
      <c r="R10" s="223" t="n">
        <f>COUNTIF($C$3:$C$22,P10)</f>
        <v>1</v>
      </c>
      <c r="S10" s="183"/>
      <c r="T10" s="183"/>
      <c r="U10" s="183"/>
      <c r="V10" s="183"/>
      <c r="W10" s="183"/>
      <c r="X10" s="183"/>
      <c r="Y10" s="183"/>
      <c r="Z10" s="183"/>
      <c r="AA10" s="183"/>
      <c r="AB10" s="207" t="n">
        <f>A56</f>
        <v>8</v>
      </c>
      <c r="AC10" s="209" t="n">
        <f>C56</f>
        <v>0.8</v>
      </c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3"/>
    </row>
    <row r="11" ht="15" hidden="0" customHeight="1">
      <c r="A11" s="207" t="str">
        <f>'Configuracion'!A13</f>
        <v>H09</v>
      </c>
      <c r="B11" s="208" t="str">
        <f>'Configuracion'!B13</f>
        <v>Meditar / orar</v>
      </c>
      <c r="C11" s="208" t="str">
        <f>'Configuracion'!C13</f>
        <v>Espiritualidad</v>
      </c>
      <c r="D11" s="208" t="n">
        <f>'Configuracion'!E13</f>
        <v>20</v>
      </c>
      <c r="E11" s="208" t="n">
        <f>COUNTIF('Registro Diario'!D14:AH14,"Sí")</f>
        <v>20</v>
      </c>
      <c r="F11" s="208" t="n">
        <f>COUNTIF('Registro Diario'!D14:AH14,"Parcial")</f>
        <v>4</v>
      </c>
      <c r="G11" s="208" t="n">
        <f>COUNTIF('Registro Diario'!D14:AH14,"No")</f>
        <v>7</v>
      </c>
      <c r="H11" s="248" t="n">
        <f>IFERROR(MIN(1,(E11+0.5*F11)/D11),0)</f>
        <v>1</v>
      </c>
      <c r="I11" s="208" t="n">
        <f>INDEX(D34:AH34,1,'Registro Diario'!$F$3)</f>
        <v>1</v>
      </c>
      <c r="J11" s="223" t="n">
        <f>MAX(D34:AH34)</f>
        <v>3</v>
      </c>
      <c r="K11" s="183"/>
      <c r="L11" s="207" t="str">
        <f>B11</f>
        <v>Meditar / orar</v>
      </c>
      <c r="M11" s="248" t="n">
        <f>H11</f>
        <v>1</v>
      </c>
      <c r="N11" s="223" t="str">
        <f>C11</f>
        <v>Espiritualidad</v>
      </c>
      <c r="O11" s="183"/>
      <c r="P11" s="207" t="str">
        <v>Alimentación</v>
      </c>
      <c r="Q11" s="248" t="n">
        <f>IFERROR(AVERAGEIF($C$3:$C$22,P11,$H$3:$H$22),0)</f>
        <v>0.9166666666666666</v>
      </c>
      <c r="R11" s="223" t="n">
        <f>COUNTIF($C$3:$C$22,P11)</f>
        <v>1</v>
      </c>
      <c r="S11" s="183"/>
      <c r="T11" s="183"/>
      <c r="U11" s="183"/>
      <c r="V11" s="183"/>
      <c r="W11" s="183"/>
      <c r="X11" s="183"/>
      <c r="Y11" s="183"/>
      <c r="Z11" s="183"/>
      <c r="AA11" s="183"/>
      <c r="AB11" s="207" t="n">
        <f>A57</f>
        <v>9</v>
      </c>
      <c r="AC11" s="209" t="n">
        <f>C57</f>
        <v>0.6</v>
      </c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  <c r="AY11" s="183"/>
      <c r="AZ11" s="183"/>
    </row>
    <row r="12" ht="15" hidden="0" customHeight="1">
      <c r="A12" s="207" t="str">
        <f>'Configuracion'!A14</f>
        <v>H10</v>
      </c>
      <c r="B12" s="208" t="str">
        <f>'Configuracion'!B14</f>
        <v>Ordenar escritorio</v>
      </c>
      <c r="C12" s="208" t="str">
        <f>'Configuracion'!C14</f>
        <v>Trabajo</v>
      </c>
      <c r="D12" s="208" t="n">
        <f>'Configuracion'!E14</f>
        <v>18</v>
      </c>
      <c r="E12" s="208" t="n">
        <f>COUNTIF('Registro Diario'!D15:AH15,"Sí")</f>
        <v>19</v>
      </c>
      <c r="F12" s="208" t="n">
        <f>COUNTIF('Registro Diario'!D15:AH15,"Parcial")</f>
        <v>5</v>
      </c>
      <c r="G12" s="208" t="n">
        <f>COUNTIF('Registro Diario'!D15:AH15,"No")</f>
        <v>7</v>
      </c>
      <c r="H12" s="248" t="n">
        <f>IFERROR(MIN(1,(E12+0.5*F12)/D12),0)</f>
        <v>1</v>
      </c>
      <c r="I12" s="208" t="n">
        <f>INDEX(D35:AH35,1,'Registro Diario'!$F$3)</f>
        <v>3</v>
      </c>
      <c r="J12" s="223" t="n">
        <f>MAX(D35:AH35)</f>
        <v>3</v>
      </c>
      <c r="K12" s="183"/>
      <c r="L12" s="207" t="str">
        <f>B12</f>
        <v>Ordenar escritorio</v>
      </c>
      <c r="M12" s="248" t="n">
        <f>H12</f>
        <v>1</v>
      </c>
      <c r="N12" s="223" t="str">
        <f>C12</f>
        <v>Trabajo</v>
      </c>
      <c r="O12" s="183"/>
      <c r="P12" s="207" t="str">
        <v>Productividad</v>
      </c>
      <c r="Q12" s="248" t="n">
        <f>IFERROR(AVERAGEIF($C$3:$C$22,P12,$H$3:$H$22),0)</f>
        <v>0.8269230769230769</v>
      </c>
      <c r="R12" s="223" t="n">
        <f>COUNTIF($C$3:$C$22,P12)</f>
        <v>1</v>
      </c>
      <c r="S12" s="183"/>
      <c r="T12" s="183"/>
      <c r="U12" s="183"/>
      <c r="V12" s="183"/>
      <c r="W12" s="183"/>
      <c r="X12" s="183"/>
      <c r="Y12" s="183"/>
      <c r="Z12" s="183"/>
      <c r="AA12" s="183"/>
      <c r="AB12" s="207" t="n">
        <f>A58</f>
        <v>10</v>
      </c>
      <c r="AC12" s="209" t="n">
        <f>C58</f>
        <v>0.7</v>
      </c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/>
      <c r="AZ12" s="183"/>
    </row>
    <row r="13" ht="15" hidden="0" customHeight="1">
      <c r="A13" s="207" t="str">
        <f>'Configuracion'!A15</f>
        <v>H11</v>
      </c>
      <c r="B13" s="208" t="n">
        <f>'Configuracion'!B15</f>
        <v>0</v>
      </c>
      <c r="C13" s="208" t="n">
        <f>'Configuracion'!C15</f>
        <v>0</v>
      </c>
      <c r="D13" s="208" t="n">
        <f>'Configuracion'!E15</f>
        <v>0</v>
      </c>
      <c r="E13" s="208" t="n">
        <f>COUNTIF('Registro Diario'!D16:AH16,"Sí")</f>
        <v>0</v>
      </c>
      <c r="F13" s="208" t="n">
        <f>COUNTIF('Registro Diario'!D16:AH16,"Parcial")</f>
        <v>0</v>
      </c>
      <c r="G13" s="208" t="n">
        <f>COUNTIF('Registro Diario'!D16:AH16,"No")</f>
        <v>0</v>
      </c>
      <c r="H13" s="248" t="n">
        <f>IFERROR(MIN(1,(E13+0.5*F13)/D13),0)</f>
        <v>0</v>
      </c>
      <c r="I13" s="208" t="n">
        <f>INDEX(D36:AH36,1,'Registro Diario'!$F$3)</f>
        <v>0</v>
      </c>
      <c r="J13" s="223" t="n">
        <f>MAX(D36:AH36)</f>
        <v>0</v>
      </c>
      <c r="K13" s="183"/>
      <c r="L13" s="207" t="n">
        <f>B13</f>
        <v>0</v>
      </c>
      <c r="M13" s="248" t="n">
        <f>H13</f>
        <v>0</v>
      </c>
      <c r="N13" s="223" t="n">
        <f>C13</f>
        <v>0</v>
      </c>
      <c r="O13" s="183"/>
      <c r="P13" s="210" t="str">
        <v>Personal</v>
      </c>
      <c r="Q13" s="250" t="n">
        <f>IFERROR(AVERAGEIF($C$3:$C$22,P13,$H$3:$H$22),0)</f>
        <v>0</v>
      </c>
      <c r="R13" s="224" t="n">
        <f>COUNTIF($C$3:$C$22,P13)</f>
        <v>0</v>
      </c>
      <c r="S13" s="183"/>
      <c r="T13" s="183"/>
      <c r="U13" s="183"/>
      <c r="V13" s="183"/>
      <c r="W13" s="183"/>
      <c r="X13" s="183"/>
      <c r="Y13" s="183"/>
      <c r="Z13" s="183"/>
      <c r="AA13" s="183"/>
      <c r="AB13" s="207" t="n">
        <f>A59</f>
        <v>11</v>
      </c>
      <c r="AC13" s="209" t="n">
        <f>C59</f>
        <v>0.6</v>
      </c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</row>
    <row r="14" ht="15" hidden="0" customHeight="1">
      <c r="A14" s="207" t="str">
        <f>'Configuracion'!A16</f>
        <v>H12</v>
      </c>
      <c r="B14" s="208" t="n">
        <f>'Configuracion'!B16</f>
        <v>0</v>
      </c>
      <c r="C14" s="208" t="n">
        <f>'Configuracion'!C16</f>
        <v>0</v>
      </c>
      <c r="D14" s="208" t="n">
        <f>'Configuracion'!E16</f>
        <v>0</v>
      </c>
      <c r="E14" s="208" t="n">
        <f>COUNTIF('Registro Diario'!D17:AH17,"Sí")</f>
        <v>0</v>
      </c>
      <c r="F14" s="208" t="n">
        <f>COUNTIF('Registro Diario'!D17:AH17,"Parcial")</f>
        <v>0</v>
      </c>
      <c r="G14" s="208" t="n">
        <f>COUNTIF('Registro Diario'!D17:AH17,"No")</f>
        <v>0</v>
      </c>
      <c r="H14" s="248" t="n">
        <f>IFERROR(MIN(1,(E14+0.5*F14)/D14),0)</f>
        <v>0</v>
      </c>
      <c r="I14" s="208" t="n">
        <f>INDEX(D37:AH37,1,'Registro Diario'!$F$3)</f>
        <v>0</v>
      </c>
      <c r="J14" s="223" t="n">
        <f>MAX(D37:AH37)</f>
        <v>0</v>
      </c>
      <c r="K14" s="183"/>
      <c r="L14" s="207" t="n">
        <f>B14</f>
        <v>0</v>
      </c>
      <c r="M14" s="248" t="n">
        <f>H14</f>
        <v>0</v>
      </c>
      <c r="N14" s="223" t="n">
        <f>C14</f>
        <v>0</v>
      </c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207" t="n">
        <f>A60</f>
        <v>12</v>
      </c>
      <c r="AC14" s="209" t="n">
        <f>C60</f>
        <v>0.75</v>
      </c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</row>
    <row r="15" ht="15" hidden="0" customHeight="1">
      <c r="A15" s="207" t="str">
        <f>'Configuracion'!A17</f>
        <v>H13</v>
      </c>
      <c r="B15" s="208" t="n">
        <f>'Configuracion'!B17</f>
        <v>0</v>
      </c>
      <c r="C15" s="208" t="n">
        <f>'Configuracion'!C17</f>
        <v>0</v>
      </c>
      <c r="D15" s="208" t="n">
        <f>'Configuracion'!E17</f>
        <v>0</v>
      </c>
      <c r="E15" s="208" t="n">
        <f>COUNTIF('Registro Diario'!D18:AH18,"Sí")</f>
        <v>0</v>
      </c>
      <c r="F15" s="208" t="n">
        <f>COUNTIF('Registro Diario'!D18:AH18,"Parcial")</f>
        <v>0</v>
      </c>
      <c r="G15" s="208" t="n">
        <f>COUNTIF('Registro Diario'!D18:AH18,"No")</f>
        <v>0</v>
      </c>
      <c r="H15" s="248" t="n">
        <f>IFERROR(MIN(1,(E15+0.5*F15)/D15),0)</f>
        <v>0</v>
      </c>
      <c r="I15" s="208" t="n">
        <f>INDEX(D38:AH38,1,'Registro Diario'!$F$3)</f>
        <v>0</v>
      </c>
      <c r="J15" s="223" t="n">
        <f>MAX(D38:AH38)</f>
        <v>0</v>
      </c>
      <c r="K15" s="183"/>
      <c r="L15" s="207" t="n">
        <f>B15</f>
        <v>0</v>
      </c>
      <c r="M15" s="248" t="n">
        <f>H15</f>
        <v>0</v>
      </c>
      <c r="N15" s="223" t="n">
        <f>C15</f>
        <v>0</v>
      </c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207" t="n">
        <f>A61</f>
        <v>13</v>
      </c>
      <c r="AC15" s="209" t="n">
        <f>C61</f>
        <v>0.7</v>
      </c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3"/>
      <c r="AX15" s="183"/>
      <c r="AY15" s="183"/>
      <c r="AZ15" s="183"/>
    </row>
    <row r="16" ht="15" hidden="0" customHeight="1">
      <c r="A16" s="207" t="str">
        <f>'Configuracion'!A18</f>
        <v>H14</v>
      </c>
      <c r="B16" s="208" t="n">
        <f>'Configuracion'!B18</f>
        <v>0</v>
      </c>
      <c r="C16" s="208" t="n">
        <f>'Configuracion'!C18</f>
        <v>0</v>
      </c>
      <c r="D16" s="208" t="n">
        <f>'Configuracion'!E18</f>
        <v>0</v>
      </c>
      <c r="E16" s="208" t="n">
        <f>COUNTIF('Registro Diario'!D19:AH19,"Sí")</f>
        <v>0</v>
      </c>
      <c r="F16" s="208" t="n">
        <f>COUNTIF('Registro Diario'!D19:AH19,"Parcial")</f>
        <v>0</v>
      </c>
      <c r="G16" s="208" t="n">
        <f>COUNTIF('Registro Diario'!D19:AH19,"No")</f>
        <v>0</v>
      </c>
      <c r="H16" s="248" t="n">
        <f>IFERROR(MIN(1,(E16+0.5*F16)/D16),0)</f>
        <v>0</v>
      </c>
      <c r="I16" s="208" t="n">
        <f>INDEX(D39:AH39,1,'Registro Diario'!$F$3)</f>
        <v>0</v>
      </c>
      <c r="J16" s="223" t="n">
        <f>MAX(D39:AH39)</f>
        <v>0</v>
      </c>
      <c r="K16" s="183"/>
      <c r="L16" s="207" t="n">
        <f>B16</f>
        <v>0</v>
      </c>
      <c r="M16" s="248" t="n">
        <f>H16</f>
        <v>0</v>
      </c>
      <c r="N16" s="223" t="n">
        <f>C16</f>
        <v>0</v>
      </c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207" t="n">
        <f>A62</f>
        <v>14</v>
      </c>
      <c r="AC16" s="209" t="n">
        <f>C62</f>
        <v>0.65</v>
      </c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</row>
    <row r="17" ht="15" hidden="0" customHeight="1">
      <c r="A17" s="207" t="str">
        <f>'Configuracion'!A19</f>
        <v>H15</v>
      </c>
      <c r="B17" s="208" t="n">
        <f>'Configuracion'!B19</f>
        <v>0</v>
      </c>
      <c r="C17" s="208" t="n">
        <f>'Configuracion'!C19</f>
        <v>0</v>
      </c>
      <c r="D17" s="208" t="n">
        <f>'Configuracion'!E19</f>
        <v>0</v>
      </c>
      <c r="E17" s="208" t="n">
        <f>COUNTIF('Registro Diario'!D20:AH20,"Sí")</f>
        <v>0</v>
      </c>
      <c r="F17" s="208" t="n">
        <f>COUNTIF('Registro Diario'!D20:AH20,"Parcial")</f>
        <v>0</v>
      </c>
      <c r="G17" s="208" t="n">
        <f>COUNTIF('Registro Diario'!D20:AH20,"No")</f>
        <v>0</v>
      </c>
      <c r="H17" s="248" t="n">
        <f>IFERROR(MIN(1,(E17+0.5*F17)/D17),0)</f>
        <v>0</v>
      </c>
      <c r="I17" s="208" t="n">
        <f>INDEX(D40:AH40,1,'Registro Diario'!$F$3)</f>
        <v>0</v>
      </c>
      <c r="J17" s="223" t="n">
        <f>MAX(D40:AH40)</f>
        <v>0</v>
      </c>
      <c r="K17" s="183"/>
      <c r="L17" s="207" t="n">
        <f>B17</f>
        <v>0</v>
      </c>
      <c r="M17" s="248" t="n">
        <f>H17</f>
        <v>0</v>
      </c>
      <c r="N17" s="223" t="n">
        <f>C17</f>
        <v>0</v>
      </c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207" t="n">
        <f>A63</f>
        <v>15</v>
      </c>
      <c r="AC17" s="209" t="n">
        <f>C63</f>
        <v>0.7</v>
      </c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</row>
    <row r="18" ht="15" hidden="0" customHeight="1">
      <c r="A18" s="207" t="str">
        <f>'Configuracion'!A20</f>
        <v>H16</v>
      </c>
      <c r="B18" s="208" t="n">
        <f>'Configuracion'!B20</f>
        <v>0</v>
      </c>
      <c r="C18" s="208" t="n">
        <f>'Configuracion'!C20</f>
        <v>0</v>
      </c>
      <c r="D18" s="208" t="n">
        <f>'Configuracion'!E20</f>
        <v>0</v>
      </c>
      <c r="E18" s="208" t="n">
        <f>COUNTIF('Registro Diario'!D21:AH21,"Sí")</f>
        <v>0</v>
      </c>
      <c r="F18" s="208" t="n">
        <f>COUNTIF('Registro Diario'!D21:AH21,"Parcial")</f>
        <v>0</v>
      </c>
      <c r="G18" s="208" t="n">
        <f>COUNTIF('Registro Diario'!D21:AH21,"No")</f>
        <v>0</v>
      </c>
      <c r="H18" s="248" t="n">
        <f>IFERROR(MIN(1,(E18+0.5*F18)/D18),0)</f>
        <v>0</v>
      </c>
      <c r="I18" s="208" t="n">
        <f>INDEX(D41:AH41,1,'Registro Diario'!$F$3)</f>
        <v>0</v>
      </c>
      <c r="J18" s="223" t="n">
        <f>MAX(D41:AH41)</f>
        <v>0</v>
      </c>
      <c r="K18" s="183"/>
      <c r="L18" s="207" t="n">
        <f>B18</f>
        <v>0</v>
      </c>
      <c r="M18" s="248" t="n">
        <f>H18</f>
        <v>0</v>
      </c>
      <c r="N18" s="223" t="n">
        <f>C18</f>
        <v>0</v>
      </c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207" t="n">
        <f>A64</f>
        <v>16</v>
      </c>
      <c r="AC18" s="209" t="n">
        <f>C64</f>
        <v>0.7</v>
      </c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</row>
    <row r="19" ht="15" hidden="0" customHeight="1">
      <c r="A19" s="207" t="str">
        <f>'Configuracion'!A21</f>
        <v>H17</v>
      </c>
      <c r="B19" s="208" t="n">
        <f>'Configuracion'!B21</f>
        <v>0</v>
      </c>
      <c r="C19" s="208" t="n">
        <f>'Configuracion'!C21</f>
        <v>0</v>
      </c>
      <c r="D19" s="208" t="n">
        <f>'Configuracion'!E21</f>
        <v>0</v>
      </c>
      <c r="E19" s="208" t="n">
        <f>COUNTIF('Registro Diario'!D22:AH22,"Sí")</f>
        <v>0</v>
      </c>
      <c r="F19" s="208" t="n">
        <f>COUNTIF('Registro Diario'!D22:AH22,"Parcial")</f>
        <v>0</v>
      </c>
      <c r="G19" s="208" t="n">
        <f>COUNTIF('Registro Diario'!D22:AH22,"No")</f>
        <v>0</v>
      </c>
      <c r="H19" s="248" t="n">
        <f>IFERROR(MIN(1,(E19+0.5*F19)/D19),0)</f>
        <v>0</v>
      </c>
      <c r="I19" s="208" t="n">
        <f>INDEX(D42:AH42,1,'Registro Diario'!$F$3)</f>
        <v>0</v>
      </c>
      <c r="J19" s="223" t="n">
        <f>MAX(D42:AH42)</f>
        <v>0</v>
      </c>
      <c r="K19" s="183"/>
      <c r="L19" s="207" t="n">
        <f>B19</f>
        <v>0</v>
      </c>
      <c r="M19" s="248" t="n">
        <f>H19</f>
        <v>0</v>
      </c>
      <c r="N19" s="223" t="n">
        <f>C19</f>
        <v>0</v>
      </c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207" t="n">
        <f>A65</f>
        <v>17</v>
      </c>
      <c r="AC19" s="209" t="n">
        <f>C65</f>
        <v>0.8</v>
      </c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</row>
    <row r="20" ht="15" hidden="0" customHeight="1">
      <c r="A20" s="207" t="str">
        <f>'Configuracion'!A22</f>
        <v>H18</v>
      </c>
      <c r="B20" s="208" t="n">
        <f>'Configuracion'!B22</f>
        <v>0</v>
      </c>
      <c r="C20" s="208" t="n">
        <f>'Configuracion'!C22</f>
        <v>0</v>
      </c>
      <c r="D20" s="208" t="n">
        <f>'Configuracion'!E22</f>
        <v>0</v>
      </c>
      <c r="E20" s="208" t="n">
        <f>COUNTIF('Registro Diario'!D23:AH23,"Sí")</f>
        <v>0</v>
      </c>
      <c r="F20" s="208" t="n">
        <f>COUNTIF('Registro Diario'!D23:AH23,"Parcial")</f>
        <v>0</v>
      </c>
      <c r="G20" s="208" t="n">
        <f>COUNTIF('Registro Diario'!D23:AH23,"No")</f>
        <v>0</v>
      </c>
      <c r="H20" s="248" t="n">
        <f>IFERROR(MIN(1,(E20+0.5*F20)/D20),0)</f>
        <v>0</v>
      </c>
      <c r="I20" s="208" t="n">
        <f>INDEX(D43:AH43,1,'Registro Diario'!$F$3)</f>
        <v>0</v>
      </c>
      <c r="J20" s="223" t="n">
        <f>MAX(D43:AH43)</f>
        <v>0</v>
      </c>
      <c r="K20" s="183"/>
      <c r="L20" s="207" t="n">
        <f>B20</f>
        <v>0</v>
      </c>
      <c r="M20" s="248" t="n">
        <f>H20</f>
        <v>0</v>
      </c>
      <c r="N20" s="223" t="n">
        <f>C20</f>
        <v>0</v>
      </c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207" t="n">
        <f>A66</f>
        <v>18</v>
      </c>
      <c r="AC20" s="209" t="n">
        <f>C66</f>
        <v>0.65</v>
      </c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183"/>
      <c r="AX20" s="183"/>
      <c r="AY20" s="183"/>
      <c r="AZ20" s="183"/>
    </row>
    <row r="21" ht="15" hidden="0" customHeight="1">
      <c r="A21" s="207" t="str">
        <f>'Configuracion'!A23</f>
        <v>H19</v>
      </c>
      <c r="B21" s="208" t="n">
        <f>'Configuracion'!B23</f>
        <v>0</v>
      </c>
      <c r="C21" s="208" t="n">
        <f>'Configuracion'!C23</f>
        <v>0</v>
      </c>
      <c r="D21" s="208" t="n">
        <f>'Configuracion'!E23</f>
        <v>0</v>
      </c>
      <c r="E21" s="208" t="n">
        <f>COUNTIF('Registro Diario'!D24:AH24,"Sí")</f>
        <v>0</v>
      </c>
      <c r="F21" s="208" t="n">
        <f>COUNTIF('Registro Diario'!D24:AH24,"Parcial")</f>
        <v>0</v>
      </c>
      <c r="G21" s="208" t="n">
        <f>COUNTIF('Registro Diario'!D24:AH24,"No")</f>
        <v>0</v>
      </c>
      <c r="H21" s="248" t="n">
        <f>IFERROR(MIN(1,(E21+0.5*F21)/D21),0)</f>
        <v>0</v>
      </c>
      <c r="I21" s="208" t="n">
        <f>INDEX(D44:AH44,1,'Registro Diario'!$F$3)</f>
        <v>0</v>
      </c>
      <c r="J21" s="223" t="n">
        <f>MAX(D44:AH44)</f>
        <v>0</v>
      </c>
      <c r="K21" s="183"/>
      <c r="L21" s="207" t="n">
        <f>B21</f>
        <v>0</v>
      </c>
      <c r="M21" s="248" t="n">
        <f>H21</f>
        <v>0</v>
      </c>
      <c r="N21" s="223" t="n">
        <f>C21</f>
        <v>0</v>
      </c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207" t="n">
        <f>A67</f>
        <v>19</v>
      </c>
      <c r="AC21" s="209" t="n">
        <f>C67</f>
        <v>0.7</v>
      </c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</row>
    <row r="22" ht="15" hidden="0" customHeight="1">
      <c r="A22" s="210" t="str">
        <f>'Configuracion'!A24</f>
        <v>H20</v>
      </c>
      <c r="B22" s="211" t="n">
        <f>'Configuracion'!B24</f>
        <v>0</v>
      </c>
      <c r="C22" s="211" t="n">
        <f>'Configuracion'!C24</f>
        <v>0</v>
      </c>
      <c r="D22" s="211" t="n">
        <f>'Configuracion'!E24</f>
        <v>0</v>
      </c>
      <c r="E22" s="211" t="n">
        <f>COUNTIF('Registro Diario'!D25:AH25,"Sí")</f>
        <v>0</v>
      </c>
      <c r="F22" s="211" t="n">
        <f>COUNTIF('Registro Diario'!D25:AH25,"Parcial")</f>
        <v>0</v>
      </c>
      <c r="G22" s="211" t="n">
        <f>COUNTIF('Registro Diario'!D25:AH25,"No")</f>
        <v>0</v>
      </c>
      <c r="H22" s="250" t="n">
        <f>IFERROR(MIN(1,(E22+0.5*F22)/D22),0)</f>
        <v>0</v>
      </c>
      <c r="I22" s="211" t="n">
        <f>INDEX(D45:AH45,1,'Registro Diario'!$F$3)</f>
        <v>0</v>
      </c>
      <c r="J22" s="224" t="n">
        <f>MAX(D45:AH45)</f>
        <v>0</v>
      </c>
      <c r="K22" s="183"/>
      <c r="L22" s="210" t="n">
        <f>B22</f>
        <v>0</v>
      </c>
      <c r="M22" s="250" t="n">
        <f>H22</f>
        <v>0</v>
      </c>
      <c r="N22" s="224" t="n">
        <f>C22</f>
        <v>0</v>
      </c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207" t="n">
        <f>A68</f>
        <v>20</v>
      </c>
      <c r="AC22" s="209" t="n">
        <f>C68</f>
        <v>0.65</v>
      </c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  <c r="AS22" s="183"/>
      <c r="AT22" s="183"/>
      <c r="AU22" s="183"/>
      <c r="AV22" s="183"/>
      <c r="AW22" s="183"/>
      <c r="AX22" s="183"/>
      <c r="AY22" s="183"/>
      <c r="AZ22" s="183"/>
    </row>
    <row r="23" ht="15" hidden="0" customHeight="1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207" t="n">
        <f>A69</f>
        <v>21</v>
      </c>
      <c r="AC23" s="209" t="n">
        <f>C69</f>
        <v>0.8</v>
      </c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83"/>
    </row>
    <row r="24" ht="15" hidden="0" customHeight="1">
      <c r="A24" s="183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207" t="n">
        <f>A70</f>
        <v>22</v>
      </c>
      <c r="AC24" s="209" t="n">
        <f>C70</f>
        <v>0.6</v>
      </c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  <c r="AS24" s="183"/>
      <c r="AT24" s="183"/>
      <c r="AU24" s="183"/>
      <c r="AV24" s="183"/>
      <c r="AW24" s="183"/>
      <c r="AX24" s="183"/>
      <c r="AY24" s="183"/>
      <c r="AZ24" s="183"/>
    </row>
    <row r="25" ht="15" hidden="0" customHeight="1">
      <c r="A25" s="251" t="str">
        <v>ID</v>
      </c>
      <c r="B25" s="252" t="str">
        <v>Hábito</v>
      </c>
      <c r="C25" s="252" t="str">
        <v>Categoría</v>
      </c>
      <c r="D25" s="252" t="n">
        <v>1</v>
      </c>
      <c r="E25" s="252" t="n">
        <v>2</v>
      </c>
      <c r="F25" s="252" t="n">
        <v>3</v>
      </c>
      <c r="G25" s="252" t="n">
        <v>4</v>
      </c>
      <c r="H25" s="252" t="n">
        <v>5</v>
      </c>
      <c r="I25" s="252" t="n">
        <v>6</v>
      </c>
      <c r="J25" s="252" t="n">
        <v>7</v>
      </c>
      <c r="K25" s="252" t="n">
        <v>8</v>
      </c>
      <c r="L25" s="252" t="n">
        <v>9</v>
      </c>
      <c r="M25" s="252" t="n">
        <v>10</v>
      </c>
      <c r="N25" s="252" t="n">
        <v>11</v>
      </c>
      <c r="O25" s="252" t="n">
        <v>12</v>
      </c>
      <c r="P25" s="252" t="n">
        <v>13</v>
      </c>
      <c r="Q25" s="252" t="n">
        <v>14</v>
      </c>
      <c r="R25" s="252" t="n">
        <v>15</v>
      </c>
      <c r="S25" s="252" t="n">
        <v>16</v>
      </c>
      <c r="T25" s="252" t="n">
        <v>17</v>
      </c>
      <c r="U25" s="252" t="n">
        <v>18</v>
      </c>
      <c r="V25" s="252" t="n">
        <v>19</v>
      </c>
      <c r="W25" s="252" t="n">
        <v>20</v>
      </c>
      <c r="X25" s="252" t="n">
        <v>21</v>
      </c>
      <c r="Y25" s="252" t="n">
        <v>22</v>
      </c>
      <c r="Z25" s="252" t="n">
        <v>23</v>
      </c>
      <c r="AA25" s="252" t="n">
        <v>24</v>
      </c>
      <c r="AB25" s="263" t="n">
        <f>A71</f>
        <v>23</v>
      </c>
      <c r="AC25" s="264" t="n">
        <f>C71</f>
        <v>0.7</v>
      </c>
      <c r="AD25" s="252" t="n">
        <v>27</v>
      </c>
      <c r="AE25" s="252" t="n">
        <v>28</v>
      </c>
      <c r="AF25" s="252" t="n">
        <v>29</v>
      </c>
      <c r="AG25" s="252" t="n">
        <v>30</v>
      </c>
      <c r="AH25" s="253" t="n">
        <v>31</v>
      </c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</row>
    <row r="26" ht="15" hidden="0" customHeight="1">
      <c r="A26" s="204" t="str">
        <f>'Configuracion'!A5</f>
        <v>H01</v>
      </c>
      <c r="B26" s="205" t="str">
        <f>'Configuracion'!B5</f>
        <v>Agua 8 vasos</v>
      </c>
      <c r="C26" s="205" t="str">
        <f>'Configuracion'!C5</f>
        <v>Salud</v>
      </c>
      <c r="D26" s="205" t="n">
        <f>IF('Registro Diario'!D6="Sí",0+1,0)</f>
        <v>0</v>
      </c>
      <c r="E26" s="205" t="n">
        <f>IF('Registro Diario'!E6="Sí",D26+1,0)</f>
        <v>1</v>
      </c>
      <c r="F26" s="205" t="n">
        <f>IF('Registro Diario'!F6="Sí",E26+1,0)</f>
        <v>2</v>
      </c>
      <c r="G26" s="205" t="n">
        <f>IF('Registro Diario'!G6="Sí",F26+1,0)</f>
        <v>3</v>
      </c>
      <c r="H26" s="205" t="n">
        <f>IF('Registro Diario'!H6="Sí",G26+1,0)</f>
        <v>0</v>
      </c>
      <c r="I26" s="205" t="n">
        <f>IF('Registro Diario'!I6="Sí",H26+1,0)</f>
        <v>0</v>
      </c>
      <c r="J26" s="205" t="n">
        <f>IF('Registro Diario'!J6="Sí",I26+1,0)</f>
        <v>1</v>
      </c>
      <c r="K26" s="205" t="n">
        <f>IF('Registro Diario'!K6="Sí",J26+1,0)</f>
        <v>2</v>
      </c>
      <c r="L26" s="205" t="n">
        <f>IF('Registro Diario'!L6="Sí",K26+1,0)</f>
        <v>0</v>
      </c>
      <c r="M26" s="205" t="n">
        <f>IF('Registro Diario'!M6="Sí",L26+1,0)</f>
        <v>0</v>
      </c>
      <c r="N26" s="205" t="n">
        <f>IF('Registro Diario'!N6="Sí",M26+1,0)</f>
        <v>1</v>
      </c>
      <c r="O26" s="205" t="n">
        <f>IF('Registro Diario'!O6="Sí",N26+1,0)</f>
        <v>2</v>
      </c>
      <c r="P26" s="205" t="n">
        <f>IF('Registro Diario'!P6="Sí",O26+1,0)</f>
        <v>3</v>
      </c>
      <c r="Q26" s="205" t="n">
        <f>IF('Registro Diario'!Q6="Sí",P26+1,0)</f>
        <v>0</v>
      </c>
      <c r="R26" s="205" t="n">
        <f>IF('Registro Diario'!R6="Sí",Q26+1,0)</f>
        <v>1</v>
      </c>
      <c r="S26" s="205" t="n">
        <f>IF('Registro Diario'!S6="Sí",R26+1,0)</f>
        <v>2</v>
      </c>
      <c r="T26" s="205" t="n">
        <f>IF('Registro Diario'!T6="Sí",S26+1,0)</f>
        <v>3</v>
      </c>
      <c r="U26" s="205" t="n">
        <f>IF('Registro Diario'!U6="Sí",T26+1,0)</f>
        <v>0</v>
      </c>
      <c r="V26" s="205" t="n">
        <f>IF('Registro Diario'!V6="Sí",U26+1,0)</f>
        <v>0</v>
      </c>
      <c r="W26" s="205" t="n">
        <f>IF('Registro Diario'!W6="Sí",V26+1,0)</f>
        <v>1</v>
      </c>
      <c r="X26" s="205" t="n">
        <f>IF('Registro Diario'!X6="Sí",W26+1,0)</f>
        <v>2</v>
      </c>
      <c r="Y26" s="205" t="n">
        <f>IF('Registro Diario'!Y6="Sí",X26+1,0)</f>
        <v>0</v>
      </c>
      <c r="Z26" s="205" t="n">
        <f>IF('Registro Diario'!Z6="Sí",Y26+1,0)</f>
        <v>0</v>
      </c>
      <c r="AA26" s="205" t="n">
        <f>IF('Registro Diario'!AA6="Sí",Z26+1,0)</f>
        <v>1</v>
      </c>
      <c r="AB26" s="207" t="n">
        <f>A72</f>
        <v>24</v>
      </c>
      <c r="AC26" s="209" t="n">
        <f>C72</f>
        <v>0.6</v>
      </c>
      <c r="AD26" s="205" t="n">
        <f>IF('Registro Diario'!AD6="Sí",AC26+1,0)</f>
        <v>0</v>
      </c>
      <c r="AE26" s="205" t="n">
        <f>IF('Registro Diario'!AE6="Sí",AD26+1,0)</f>
        <v>1</v>
      </c>
      <c r="AF26" s="205" t="n">
        <f>IF('Registro Diario'!AF6="Sí",AE26+1,0)</f>
        <v>2</v>
      </c>
      <c r="AG26" s="205" t="n">
        <f>IF('Registro Diario'!AG6="Sí",AF26+1,0)</f>
        <v>3</v>
      </c>
      <c r="AH26" s="222" t="n">
        <f>IF('Registro Diario'!AH6="Sí",AG26+1,0)</f>
        <v>0</v>
      </c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  <c r="AS26" s="183"/>
      <c r="AT26" s="183"/>
      <c r="AU26" s="183"/>
      <c r="AV26" s="183"/>
      <c r="AW26" s="183"/>
      <c r="AX26" s="183"/>
      <c r="AY26" s="183"/>
      <c r="AZ26" s="183"/>
    </row>
    <row r="27" ht="15" hidden="0" customHeight="1">
      <c r="A27" s="207" t="str">
        <f>'Configuracion'!A6</f>
        <v>H02</v>
      </c>
      <c r="B27" s="208" t="str">
        <f>'Configuracion'!B6</f>
        <v>Caminar 30 min</v>
      </c>
      <c r="C27" s="208" t="str">
        <f>'Configuracion'!C6</f>
        <v>Ejercicio</v>
      </c>
      <c r="D27" s="208" t="n">
        <f>IF('Registro Diario'!D7="Sí",0+1,0)</f>
        <v>1</v>
      </c>
      <c r="E27" s="208" t="n">
        <f>IF('Registro Diario'!E7="Sí",D27+1,0)</f>
        <v>2</v>
      </c>
      <c r="F27" s="208" t="n">
        <f>IF('Registro Diario'!F7="Sí",E27+1,0)</f>
        <v>0</v>
      </c>
      <c r="G27" s="208" t="n">
        <f>IF('Registro Diario'!G7="Sí",F27+1,0)</f>
        <v>1</v>
      </c>
      <c r="H27" s="208" t="n">
        <f>IF('Registro Diario'!H7="Sí",G27+1,0)</f>
        <v>2</v>
      </c>
      <c r="I27" s="208" t="n">
        <f>IF('Registro Diario'!I7="Sí",H27+1,0)</f>
        <v>3</v>
      </c>
      <c r="J27" s="208" t="n">
        <f>IF('Registro Diario'!J7="Sí",I27+1,0)</f>
        <v>0</v>
      </c>
      <c r="K27" s="208" t="n">
        <f>IF('Registro Diario'!K7="Sí",J27+1,0)</f>
        <v>0</v>
      </c>
      <c r="L27" s="208" t="n">
        <f>IF('Registro Diario'!L7="Sí",K27+1,0)</f>
        <v>1</v>
      </c>
      <c r="M27" s="208" t="n">
        <f>IF('Registro Diario'!M7="Sí",L27+1,0)</f>
        <v>2</v>
      </c>
      <c r="N27" s="208" t="n">
        <f>IF('Registro Diario'!N7="Sí",M27+1,0)</f>
        <v>0</v>
      </c>
      <c r="O27" s="208" t="n">
        <f>IF('Registro Diario'!O7="Sí",N27+1,0)</f>
        <v>0</v>
      </c>
      <c r="P27" s="208" t="n">
        <f>IF('Registro Diario'!P7="Sí",O27+1,0)</f>
        <v>1</v>
      </c>
      <c r="Q27" s="208" t="n">
        <f>IF('Registro Diario'!Q7="Sí",P27+1,0)</f>
        <v>2</v>
      </c>
      <c r="R27" s="208" t="n">
        <f>IF('Registro Diario'!R7="Sí",Q27+1,0)</f>
        <v>3</v>
      </c>
      <c r="S27" s="208" t="n">
        <f>IF('Registro Diario'!S7="Sí",R27+1,0)</f>
        <v>0</v>
      </c>
      <c r="T27" s="208" t="n">
        <f>IF('Registro Diario'!T7="Sí",S27+1,0)</f>
        <v>1</v>
      </c>
      <c r="U27" s="208" t="n">
        <f>IF('Registro Diario'!U7="Sí",T27+1,0)</f>
        <v>2</v>
      </c>
      <c r="V27" s="208" t="n">
        <f>IF('Registro Diario'!V7="Sí",U27+1,0)</f>
        <v>3</v>
      </c>
      <c r="W27" s="208" t="n">
        <f>IF('Registro Diario'!W7="Sí",V27+1,0)</f>
        <v>0</v>
      </c>
      <c r="X27" s="208" t="n">
        <f>IF('Registro Diario'!X7="Sí",W27+1,0)</f>
        <v>0</v>
      </c>
      <c r="Y27" s="208" t="n">
        <f>IF('Registro Diario'!Y7="Sí",X27+1,0)</f>
        <v>1</v>
      </c>
      <c r="Z27" s="208" t="n">
        <f>IF('Registro Diario'!Z7="Sí",Y27+1,0)</f>
        <v>2</v>
      </c>
      <c r="AA27" s="208" t="n">
        <f>IF('Registro Diario'!AA7="Sí",Z27+1,0)</f>
        <v>0</v>
      </c>
      <c r="AB27" s="207" t="n">
        <f>A73</f>
        <v>25</v>
      </c>
      <c r="AC27" s="209" t="n">
        <f>C73</f>
        <v>0.75</v>
      </c>
      <c r="AD27" s="208" t="n">
        <f>IF('Registro Diario'!AD7="Sí",AC27+1,0)</f>
        <v>1.75</v>
      </c>
      <c r="AE27" s="208" t="n">
        <f>IF('Registro Diario'!AE7="Sí",AD27+1,0)</f>
        <v>2.75</v>
      </c>
      <c r="AF27" s="208" t="n">
        <f>IF('Registro Diario'!AF7="Sí",AE27+1,0)</f>
        <v>0</v>
      </c>
      <c r="AG27" s="208" t="n">
        <f>IF('Registro Diario'!AG7="Sí",AF27+1,0)</f>
        <v>1</v>
      </c>
      <c r="AH27" s="223" t="n">
        <f>IF('Registro Diario'!AH7="Sí",AG27+1,0)</f>
        <v>2</v>
      </c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3"/>
      <c r="AX27" s="183"/>
      <c r="AY27" s="183"/>
      <c r="AZ27" s="183"/>
    </row>
    <row r="28" ht="15" hidden="0" customHeight="1">
      <c r="A28" s="207" t="str">
        <f>'Configuracion'!A7</f>
        <v>H03</v>
      </c>
      <c r="B28" s="208" t="str">
        <f>'Configuracion'!B7</f>
        <v>Leer 10 páginas</v>
      </c>
      <c r="C28" s="208" t="str">
        <f>'Configuracion'!C7</f>
        <v>Lectura</v>
      </c>
      <c r="D28" s="208" t="n">
        <f>IF('Registro Diario'!D8="Sí",0+1,0)</f>
        <v>0</v>
      </c>
      <c r="E28" s="208" t="n">
        <f>IF('Registro Diario'!E8="Sí",D28+1,0)</f>
        <v>1</v>
      </c>
      <c r="F28" s="208" t="n">
        <f>IF('Registro Diario'!F8="Sí",E28+1,0)</f>
        <v>2</v>
      </c>
      <c r="G28" s="208" t="n">
        <f>IF('Registro Diario'!G8="Sí",F28+1,0)</f>
        <v>3</v>
      </c>
      <c r="H28" s="208" t="n">
        <f>IF('Registro Diario'!H8="Sí",G28+1,0)</f>
        <v>0</v>
      </c>
      <c r="I28" s="208" t="n">
        <f>IF('Registro Diario'!I8="Sí",H28+1,0)</f>
        <v>1</v>
      </c>
      <c r="J28" s="208" t="n">
        <f>IF('Registro Diario'!J8="Sí",I28+1,0)</f>
        <v>2</v>
      </c>
      <c r="K28" s="208" t="n">
        <f>IF('Registro Diario'!K8="Sí",J28+1,0)</f>
        <v>3</v>
      </c>
      <c r="L28" s="208" t="n">
        <f>IF('Registro Diario'!L8="Sí",K28+1,0)</f>
        <v>0</v>
      </c>
      <c r="M28" s="208" t="n">
        <f>IF('Registro Diario'!M8="Sí",L28+1,0)</f>
        <v>0</v>
      </c>
      <c r="N28" s="208" t="n">
        <f>IF('Registro Diario'!N8="Sí",M28+1,0)</f>
        <v>1</v>
      </c>
      <c r="O28" s="208" t="n">
        <f>IF('Registro Diario'!O8="Sí",N28+1,0)</f>
        <v>2</v>
      </c>
      <c r="P28" s="208" t="n">
        <f>IF('Registro Diario'!P8="Sí",O28+1,0)</f>
        <v>0</v>
      </c>
      <c r="Q28" s="208" t="n">
        <f>IF('Registro Diario'!Q8="Sí",P28+1,0)</f>
        <v>0</v>
      </c>
      <c r="R28" s="208" t="n">
        <f>IF('Registro Diario'!R8="Sí",Q28+1,0)</f>
        <v>1</v>
      </c>
      <c r="S28" s="208" t="n">
        <f>IF('Registro Diario'!S8="Sí",R28+1,0)</f>
        <v>2</v>
      </c>
      <c r="T28" s="208" t="n">
        <f>IF('Registro Diario'!T8="Sí",S28+1,0)</f>
        <v>3</v>
      </c>
      <c r="U28" s="208" t="n">
        <f>IF('Registro Diario'!U8="Sí",T28+1,0)</f>
        <v>0</v>
      </c>
      <c r="V28" s="208" t="n">
        <f>IF('Registro Diario'!V8="Sí",U28+1,0)</f>
        <v>1</v>
      </c>
      <c r="W28" s="208" t="n">
        <f>IF('Registro Diario'!W8="Sí",V28+1,0)</f>
        <v>2</v>
      </c>
      <c r="X28" s="208" t="n">
        <f>IF('Registro Diario'!X8="Sí",W28+1,0)</f>
        <v>3</v>
      </c>
      <c r="Y28" s="208" t="n">
        <f>IF('Registro Diario'!Y8="Sí",X28+1,0)</f>
        <v>0</v>
      </c>
      <c r="Z28" s="208" t="n">
        <f>IF('Registro Diario'!Z8="Sí",Y28+1,0)</f>
        <v>0</v>
      </c>
      <c r="AA28" s="208" t="n">
        <f>IF('Registro Diario'!AA8="Sí",Z28+1,0)</f>
        <v>1</v>
      </c>
      <c r="AB28" s="207" t="n">
        <f>A74</f>
        <v>26</v>
      </c>
      <c r="AC28" s="209" t="n">
        <f>C74</f>
        <v>0.7</v>
      </c>
      <c r="AD28" s="208" t="n">
        <f>IF('Registro Diario'!AD8="Sí",AC28+1,0)</f>
        <v>0</v>
      </c>
      <c r="AE28" s="208" t="n">
        <f>IF('Registro Diario'!AE8="Sí",AD28+1,0)</f>
        <v>1</v>
      </c>
      <c r="AF28" s="208" t="n">
        <f>IF('Registro Diario'!AF8="Sí",AE28+1,0)</f>
        <v>2</v>
      </c>
      <c r="AG28" s="208" t="n">
        <f>IF('Registro Diario'!AG8="Sí",AF28+1,0)</f>
        <v>3</v>
      </c>
      <c r="AH28" s="223" t="n">
        <f>IF('Registro Diario'!AH8="Sí",AG28+1,0)</f>
        <v>0</v>
      </c>
      <c r="AI28" s="183"/>
      <c r="AJ28" s="183"/>
      <c r="AK28" s="183"/>
      <c r="AL28" s="183"/>
      <c r="AM28" s="183"/>
      <c r="AN28" s="183"/>
      <c r="AO28" s="183"/>
      <c r="AP28" s="183"/>
      <c r="AQ28" s="183"/>
      <c r="AR28" s="183"/>
      <c r="AS28" s="183"/>
      <c r="AT28" s="183"/>
      <c r="AU28" s="183"/>
      <c r="AV28" s="183"/>
      <c r="AW28" s="183"/>
      <c r="AX28" s="183"/>
      <c r="AY28" s="183"/>
      <c r="AZ28" s="183"/>
    </row>
    <row r="29" ht="15" hidden="0" customHeight="1">
      <c r="A29" s="207" t="str">
        <f>'Configuracion'!A8</f>
        <v>H04</v>
      </c>
      <c r="B29" s="208" t="str">
        <f>'Configuracion'!B8</f>
        <v>Dormir 7+ horas</v>
      </c>
      <c r="C29" s="208" t="str">
        <f>'Configuracion'!C8</f>
        <v>Descanso</v>
      </c>
      <c r="D29" s="208" t="n">
        <f>IF('Registro Diario'!D9="Sí",0+1,0)</f>
        <v>1</v>
      </c>
      <c r="E29" s="208" t="n">
        <f>IF('Registro Diario'!E9="Sí",D29+1,0)</f>
        <v>0</v>
      </c>
      <c r="F29" s="208" t="n">
        <f>IF('Registro Diario'!F9="Sí",E29+1,0)</f>
        <v>0</v>
      </c>
      <c r="G29" s="208" t="n">
        <f>IF('Registro Diario'!G9="Sí",F29+1,0)</f>
        <v>1</v>
      </c>
      <c r="H29" s="208" t="n">
        <f>IF('Registro Diario'!H9="Sí",G29+1,0)</f>
        <v>2</v>
      </c>
      <c r="I29" s="208" t="n">
        <f>IF('Registro Diario'!I9="Sí",H29+1,0)</f>
        <v>3</v>
      </c>
      <c r="J29" s="208" t="n">
        <f>IF('Registro Diario'!J9="Sí",I29+1,0)</f>
        <v>0</v>
      </c>
      <c r="K29" s="208" t="n">
        <f>IF('Registro Diario'!K9="Sí",J29+1,0)</f>
        <v>1</v>
      </c>
      <c r="L29" s="208" t="n">
        <f>IF('Registro Diario'!L9="Sí",K29+1,0)</f>
        <v>2</v>
      </c>
      <c r="M29" s="208" t="n">
        <f>IF('Registro Diario'!M9="Sí",L29+1,0)</f>
        <v>3</v>
      </c>
      <c r="N29" s="208" t="n">
        <f>IF('Registro Diario'!N9="Sí",M29+1,0)</f>
        <v>0</v>
      </c>
      <c r="O29" s="208" t="n">
        <f>IF('Registro Diario'!O9="Sí",N29+1,0)</f>
        <v>0</v>
      </c>
      <c r="P29" s="208" t="n">
        <f>IF('Registro Diario'!P9="Sí",O29+1,0)</f>
        <v>1</v>
      </c>
      <c r="Q29" s="208" t="n">
        <f>IF('Registro Diario'!Q9="Sí",P29+1,0)</f>
        <v>2</v>
      </c>
      <c r="R29" s="208" t="n">
        <f>IF('Registro Diario'!R9="Sí",Q29+1,0)</f>
        <v>0</v>
      </c>
      <c r="S29" s="208" t="n">
        <f>IF('Registro Diario'!S9="Sí",R29+1,0)</f>
        <v>0</v>
      </c>
      <c r="T29" s="208" t="n">
        <f>IF('Registro Diario'!T9="Sí",S29+1,0)</f>
        <v>1</v>
      </c>
      <c r="U29" s="208" t="n">
        <f>IF('Registro Diario'!U9="Sí",T29+1,0)</f>
        <v>2</v>
      </c>
      <c r="V29" s="208" t="n">
        <f>IF('Registro Diario'!V9="Sí",U29+1,0)</f>
        <v>3</v>
      </c>
      <c r="W29" s="208" t="n">
        <f>IF('Registro Diario'!W9="Sí",V29+1,0)</f>
        <v>0</v>
      </c>
      <c r="X29" s="208" t="n">
        <f>IF('Registro Diario'!X9="Sí",W29+1,0)</f>
        <v>1</v>
      </c>
      <c r="Y29" s="208" t="n">
        <f>IF('Registro Diario'!Y9="Sí",X29+1,0)</f>
        <v>2</v>
      </c>
      <c r="Z29" s="208" t="n">
        <f>IF('Registro Diario'!Z9="Sí",Y29+1,0)</f>
        <v>3</v>
      </c>
      <c r="AA29" s="208" t="n">
        <f>IF('Registro Diario'!AA9="Sí",Z29+1,0)</f>
        <v>0</v>
      </c>
      <c r="AB29" s="207" t="n">
        <f>A75</f>
        <v>27</v>
      </c>
      <c r="AC29" s="209" t="n">
        <f>C75</f>
        <v>0.65</v>
      </c>
      <c r="AD29" s="208" t="n">
        <f>IF('Registro Diario'!AD9="Sí",AC29+1,0)</f>
        <v>1.65</v>
      </c>
      <c r="AE29" s="208" t="n">
        <f>IF('Registro Diario'!AE9="Sí",AD29+1,0)</f>
        <v>0</v>
      </c>
      <c r="AF29" s="208" t="n">
        <f>IF('Registro Diario'!AF9="Sí",AE29+1,0)</f>
        <v>0</v>
      </c>
      <c r="AG29" s="208" t="n">
        <f>IF('Registro Diario'!AG9="Sí",AF29+1,0)</f>
        <v>1</v>
      </c>
      <c r="AH29" s="223" t="n">
        <f>IF('Registro Diario'!AH9="Sí",AG29+1,0)</f>
        <v>2</v>
      </c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3"/>
      <c r="AX29" s="183"/>
      <c r="AY29" s="183"/>
      <c r="AZ29" s="183"/>
    </row>
    <row r="30" ht="15" hidden="0" customHeight="1">
      <c r="A30" s="207" t="str">
        <f>'Configuracion'!A9</f>
        <v>H05</v>
      </c>
      <c r="B30" s="208" t="str">
        <f>'Configuracion'!B9</f>
        <v>Estudiar 45 min</v>
      </c>
      <c r="C30" s="208" t="str">
        <f>'Configuracion'!C9</f>
        <v>Estudio</v>
      </c>
      <c r="D30" s="208" t="n">
        <f>IF('Registro Diario'!D10="Sí",0+1,0)</f>
        <v>0</v>
      </c>
      <c r="E30" s="208" t="n">
        <f>IF('Registro Diario'!E10="Sí",D30+1,0)</f>
        <v>1</v>
      </c>
      <c r="F30" s="208" t="n">
        <f>IF('Registro Diario'!F10="Sí",E30+1,0)</f>
        <v>2</v>
      </c>
      <c r="G30" s="208" t="n">
        <f>IF('Registro Diario'!G10="Sí",F30+1,0)</f>
        <v>0</v>
      </c>
      <c r="H30" s="208" t="n">
        <f>IF('Registro Diario'!H10="Sí",G30+1,0)</f>
        <v>0</v>
      </c>
      <c r="I30" s="208" t="n">
        <f>IF('Registro Diario'!I10="Sí",H30+1,0)</f>
        <v>1</v>
      </c>
      <c r="J30" s="208" t="n">
        <f>IF('Registro Diario'!J10="Sí",I30+1,0)</f>
        <v>2</v>
      </c>
      <c r="K30" s="208" t="n">
        <f>IF('Registro Diario'!K10="Sí",J30+1,0)</f>
        <v>3</v>
      </c>
      <c r="L30" s="208" t="n">
        <f>IF('Registro Diario'!L10="Sí",K30+1,0)</f>
        <v>0</v>
      </c>
      <c r="M30" s="208" t="n">
        <f>IF('Registro Diario'!M10="Sí",L30+1,0)</f>
        <v>1</v>
      </c>
      <c r="N30" s="208" t="n">
        <f>IF('Registro Diario'!N10="Sí",M30+1,0)</f>
        <v>2</v>
      </c>
      <c r="O30" s="208" t="n">
        <f>IF('Registro Diario'!O10="Sí",N30+1,0)</f>
        <v>3</v>
      </c>
      <c r="P30" s="208" t="n">
        <f>IF('Registro Diario'!P10="Sí",O30+1,0)</f>
        <v>0</v>
      </c>
      <c r="Q30" s="208" t="n">
        <f>IF('Registro Diario'!Q10="Sí",P30+1,0)</f>
        <v>0</v>
      </c>
      <c r="R30" s="208" t="n">
        <f>IF('Registro Diario'!R10="Sí",Q30+1,0)</f>
        <v>1</v>
      </c>
      <c r="S30" s="208" t="n">
        <f>IF('Registro Diario'!S10="Sí",R30+1,0)</f>
        <v>2</v>
      </c>
      <c r="T30" s="208" t="n">
        <f>IF('Registro Diario'!T10="Sí",S30+1,0)</f>
        <v>0</v>
      </c>
      <c r="U30" s="208" t="n">
        <f>IF('Registro Diario'!U10="Sí",T30+1,0)</f>
        <v>0</v>
      </c>
      <c r="V30" s="208" t="n">
        <f>IF('Registro Diario'!V10="Sí",U30+1,0)</f>
        <v>1</v>
      </c>
      <c r="W30" s="208" t="n">
        <f>IF('Registro Diario'!W10="Sí",V30+1,0)</f>
        <v>2</v>
      </c>
      <c r="X30" s="208" t="n">
        <f>IF('Registro Diario'!X10="Sí",W30+1,0)</f>
        <v>3</v>
      </c>
      <c r="Y30" s="208" t="n">
        <f>IF('Registro Diario'!Y10="Sí",X30+1,0)</f>
        <v>0</v>
      </c>
      <c r="Z30" s="208" t="n">
        <f>IF('Registro Diario'!Z10="Sí",Y30+1,0)</f>
        <v>1</v>
      </c>
      <c r="AA30" s="208" t="n">
        <f>IF('Registro Diario'!AA10="Sí",Z30+1,0)</f>
        <v>2</v>
      </c>
      <c r="AB30" s="207" t="n">
        <f>A76</f>
        <v>28</v>
      </c>
      <c r="AC30" s="209" t="n">
        <f>C76</f>
        <v>0.7</v>
      </c>
      <c r="AD30" s="208" t="n">
        <f>IF('Registro Diario'!AD10="Sí",AC30+1,0)</f>
        <v>0</v>
      </c>
      <c r="AE30" s="208" t="n">
        <f>IF('Registro Diario'!AE10="Sí",AD30+1,0)</f>
        <v>1</v>
      </c>
      <c r="AF30" s="208" t="n">
        <f>IF('Registro Diario'!AF10="Sí",AE30+1,0)</f>
        <v>2</v>
      </c>
      <c r="AG30" s="208" t="n">
        <f>IF('Registro Diario'!AG10="Sí",AF30+1,0)</f>
        <v>0</v>
      </c>
      <c r="AH30" s="223" t="n">
        <f>IF('Registro Diario'!AH10="Sí",AG30+1,0)</f>
        <v>0</v>
      </c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  <c r="AU30" s="183"/>
      <c r="AV30" s="183"/>
      <c r="AW30" s="183"/>
      <c r="AX30" s="183"/>
      <c r="AY30" s="183"/>
      <c r="AZ30" s="183"/>
    </row>
    <row r="31" ht="15" hidden="0" customHeight="1">
      <c r="A31" s="207" t="str">
        <f>'Configuracion'!A10</f>
        <v>H06</v>
      </c>
      <c r="B31" s="208" t="str">
        <f>'Configuracion'!B10</f>
        <v>Planificar el día</v>
      </c>
      <c r="C31" s="208" t="str">
        <f>'Configuracion'!C10</f>
        <v>Productividad</v>
      </c>
      <c r="D31" s="208" t="n">
        <f>IF('Registro Diario'!D11="Sí",0+1,0)</f>
        <v>1</v>
      </c>
      <c r="E31" s="208" t="n">
        <f>IF('Registro Diario'!E11="Sí",D31+1,0)</f>
        <v>0</v>
      </c>
      <c r="F31" s="208" t="n">
        <f>IF('Registro Diario'!F11="Sí",E31+1,0)</f>
        <v>0</v>
      </c>
      <c r="G31" s="208" t="n">
        <f>IF('Registro Diario'!G11="Sí",F31+1,0)</f>
        <v>1</v>
      </c>
      <c r="H31" s="208" t="n">
        <f>IF('Registro Diario'!H11="Sí",G31+1,0)</f>
        <v>2</v>
      </c>
      <c r="I31" s="208" t="n">
        <f>IF('Registro Diario'!I11="Sí",H31+1,0)</f>
        <v>0</v>
      </c>
      <c r="J31" s="208" t="n">
        <f>IF('Registro Diario'!J11="Sí",I31+1,0)</f>
        <v>0</v>
      </c>
      <c r="K31" s="208" t="n">
        <f>IF('Registro Diario'!K11="Sí",J31+1,0)</f>
        <v>1</v>
      </c>
      <c r="L31" s="208" t="n">
        <f>IF('Registro Diario'!L11="Sí",K31+1,0)</f>
        <v>2</v>
      </c>
      <c r="M31" s="208" t="n">
        <f>IF('Registro Diario'!M11="Sí",L31+1,0)</f>
        <v>3</v>
      </c>
      <c r="N31" s="208" t="n">
        <f>IF('Registro Diario'!N11="Sí",M31+1,0)</f>
        <v>0</v>
      </c>
      <c r="O31" s="208" t="n">
        <f>IF('Registro Diario'!O11="Sí",N31+1,0)</f>
        <v>1</v>
      </c>
      <c r="P31" s="208" t="n">
        <f>IF('Registro Diario'!P11="Sí",O31+1,0)</f>
        <v>2</v>
      </c>
      <c r="Q31" s="208" t="n">
        <f>IF('Registro Diario'!Q11="Sí",P31+1,0)</f>
        <v>3</v>
      </c>
      <c r="R31" s="208" t="n">
        <f>IF('Registro Diario'!R11="Sí",Q31+1,0)</f>
        <v>0</v>
      </c>
      <c r="S31" s="208" t="n">
        <f>IF('Registro Diario'!S11="Sí",R31+1,0)</f>
        <v>0</v>
      </c>
      <c r="T31" s="208" t="n">
        <f>IF('Registro Diario'!T11="Sí",S31+1,0)</f>
        <v>1</v>
      </c>
      <c r="U31" s="208" t="n">
        <f>IF('Registro Diario'!U11="Sí",T31+1,0)</f>
        <v>2</v>
      </c>
      <c r="V31" s="208" t="n">
        <f>IF('Registro Diario'!V11="Sí",U31+1,0)</f>
        <v>0</v>
      </c>
      <c r="W31" s="208" t="n">
        <f>IF('Registro Diario'!W11="Sí",V31+1,0)</f>
        <v>0</v>
      </c>
      <c r="X31" s="208" t="n">
        <f>IF('Registro Diario'!X11="Sí",W31+1,0)</f>
        <v>1</v>
      </c>
      <c r="Y31" s="208" t="n">
        <f>IF('Registro Diario'!Y11="Sí",X31+1,0)</f>
        <v>2</v>
      </c>
      <c r="Z31" s="208" t="n">
        <f>IF('Registro Diario'!Z11="Sí",Y31+1,0)</f>
        <v>3</v>
      </c>
      <c r="AA31" s="208" t="n">
        <f>IF('Registro Diario'!AA11="Sí",Z31+1,0)</f>
        <v>0</v>
      </c>
      <c r="AB31" s="207" t="n">
        <f>A77</f>
        <v>29</v>
      </c>
      <c r="AC31" s="209" t="n">
        <f>C77</f>
        <v>0.7</v>
      </c>
      <c r="AD31" s="208" t="n">
        <f>IF('Registro Diario'!AD11="Sí",AC31+1,0)</f>
        <v>1.7</v>
      </c>
      <c r="AE31" s="208" t="n">
        <f>IF('Registro Diario'!AE11="Sí",AD31+1,0)</f>
        <v>0</v>
      </c>
      <c r="AF31" s="208" t="n">
        <f>IF('Registro Diario'!AF11="Sí",AE31+1,0)</f>
        <v>0</v>
      </c>
      <c r="AG31" s="208" t="n">
        <f>IF('Registro Diario'!AG11="Sí",AF31+1,0)</f>
        <v>1</v>
      </c>
      <c r="AH31" s="223" t="n">
        <f>IF('Registro Diario'!AH11="Sí",AG31+1,0)</f>
        <v>2</v>
      </c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3"/>
      <c r="AX31" s="183"/>
      <c r="AY31" s="183"/>
      <c r="AZ31" s="183"/>
    </row>
    <row r="32" ht="15" hidden="0" customHeight="1">
      <c r="A32" s="207" t="str">
        <f>'Configuracion'!A11</f>
        <v>H07</v>
      </c>
      <c r="B32" s="208" t="str">
        <f>'Configuracion'!B11</f>
        <v>Registrar gastos</v>
      </c>
      <c r="C32" s="208" t="str">
        <f>'Configuracion'!C11</f>
        <v>Finanzas</v>
      </c>
      <c r="D32" s="208" t="n">
        <f>IF('Registro Diario'!D12="Sí",0+1,0)</f>
        <v>1</v>
      </c>
      <c r="E32" s="208" t="n">
        <f>IF('Registro Diario'!E12="Sí",D32+1,0)</f>
        <v>2</v>
      </c>
      <c r="F32" s="208" t="n">
        <f>IF('Registro Diario'!F12="Sí",E32+1,0)</f>
        <v>3</v>
      </c>
      <c r="G32" s="208" t="n">
        <f>IF('Registro Diario'!G12="Sí",F32+1,0)</f>
        <v>0</v>
      </c>
      <c r="H32" s="208" t="n">
        <f>IF('Registro Diario'!H12="Sí",G32+1,0)</f>
        <v>0</v>
      </c>
      <c r="I32" s="208" t="n">
        <f>IF('Registro Diario'!I12="Sí",H32+1,0)</f>
        <v>1</v>
      </c>
      <c r="J32" s="208" t="n">
        <f>IF('Registro Diario'!J12="Sí",I32+1,0)</f>
        <v>2</v>
      </c>
      <c r="K32" s="208" t="n">
        <f>IF('Registro Diario'!K12="Sí",J32+1,0)</f>
        <v>0</v>
      </c>
      <c r="L32" s="208" t="n">
        <f>IF('Registro Diario'!L12="Sí",K32+1,0)</f>
        <v>0</v>
      </c>
      <c r="M32" s="208" t="n">
        <f>IF('Registro Diario'!M12="Sí",L32+1,0)</f>
        <v>1</v>
      </c>
      <c r="N32" s="208" t="n">
        <f>IF('Registro Diario'!N12="Sí",M32+1,0)</f>
        <v>2</v>
      </c>
      <c r="O32" s="208" t="n">
        <f>IF('Registro Diario'!O12="Sí",N32+1,0)</f>
        <v>3</v>
      </c>
      <c r="P32" s="208" t="n">
        <f>IF('Registro Diario'!P12="Sí",O32+1,0)</f>
        <v>0</v>
      </c>
      <c r="Q32" s="208" t="n">
        <f>IF('Registro Diario'!Q12="Sí",P32+1,0)</f>
        <v>1</v>
      </c>
      <c r="R32" s="208" t="n">
        <f>IF('Registro Diario'!R12="Sí",Q32+1,0)</f>
        <v>2</v>
      </c>
      <c r="S32" s="208" t="n">
        <f>IF('Registro Diario'!S12="Sí",R32+1,0)</f>
        <v>3</v>
      </c>
      <c r="T32" s="208" t="n">
        <f>IF('Registro Diario'!T12="Sí",S32+1,0)</f>
        <v>0</v>
      </c>
      <c r="U32" s="208" t="n">
        <f>IF('Registro Diario'!U12="Sí",T32+1,0)</f>
        <v>0</v>
      </c>
      <c r="V32" s="208" t="n">
        <f>IF('Registro Diario'!V12="Sí",U32+1,0)</f>
        <v>1</v>
      </c>
      <c r="W32" s="208" t="n">
        <f>IF('Registro Diario'!W12="Sí",V32+1,0)</f>
        <v>2</v>
      </c>
      <c r="X32" s="208" t="n">
        <f>IF('Registro Diario'!X12="Sí",W32+1,0)</f>
        <v>0</v>
      </c>
      <c r="Y32" s="208" t="n">
        <f>IF('Registro Diario'!Y12="Sí",X32+1,0)</f>
        <v>0</v>
      </c>
      <c r="Z32" s="208" t="n">
        <f>IF('Registro Diario'!Z12="Sí",Y32+1,0)</f>
        <v>1</v>
      </c>
      <c r="AA32" s="208" t="n">
        <f>IF('Registro Diario'!AA12="Sí",Z32+1,0)</f>
        <v>2</v>
      </c>
      <c r="AB32" s="207" t="n">
        <f>A78</f>
        <v>30</v>
      </c>
      <c r="AC32" s="209" t="n">
        <f>C78</f>
        <v>0.8</v>
      </c>
      <c r="AD32" s="208" t="n">
        <f>IF('Registro Diario'!AD12="Sí",AC32+1,0)</f>
        <v>1.8</v>
      </c>
      <c r="AE32" s="208" t="n">
        <f>IF('Registro Diario'!AE12="Sí",AD32+1,0)</f>
        <v>2.8</v>
      </c>
      <c r="AF32" s="208" t="n">
        <f>IF('Registro Diario'!AF12="Sí",AE32+1,0)</f>
        <v>3.8</v>
      </c>
      <c r="AG32" s="208" t="n">
        <f>IF('Registro Diario'!AG12="Sí",AF32+1,0)</f>
        <v>0</v>
      </c>
      <c r="AH32" s="223" t="n">
        <f>IF('Registro Diario'!AH12="Sí",AG32+1,0)</f>
        <v>0</v>
      </c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  <c r="AU32" s="183"/>
      <c r="AV32" s="183"/>
      <c r="AW32" s="183"/>
      <c r="AX32" s="183"/>
      <c r="AY32" s="183"/>
      <c r="AZ32" s="183"/>
    </row>
    <row r="33" ht="15" hidden="0" customHeight="1">
      <c r="A33" s="207" t="str">
        <f>'Configuracion'!A12</f>
        <v>H08</v>
      </c>
      <c r="B33" s="208" t="str">
        <f>'Configuracion'!B12</f>
        <v>Comida saludable</v>
      </c>
      <c r="C33" s="208" t="str">
        <f>'Configuracion'!C12</f>
        <v>Alimentación</v>
      </c>
      <c r="D33" s="208" t="n">
        <f>IF('Registro Diario'!D13="Sí",0+1,0)</f>
        <v>1</v>
      </c>
      <c r="E33" s="208" t="n">
        <f>IF('Registro Diario'!E13="Sí",D33+1,0)</f>
        <v>0</v>
      </c>
      <c r="F33" s="208" t="n">
        <f>IF('Registro Diario'!F13="Sí",E33+1,0)</f>
        <v>1</v>
      </c>
      <c r="G33" s="208" t="n">
        <f>IF('Registro Diario'!G13="Sí",F33+1,0)</f>
        <v>2</v>
      </c>
      <c r="H33" s="208" t="n">
        <f>IF('Registro Diario'!H13="Sí",G33+1,0)</f>
        <v>3</v>
      </c>
      <c r="I33" s="208" t="n">
        <f>IF('Registro Diario'!I13="Sí",H33+1,0)</f>
        <v>0</v>
      </c>
      <c r="J33" s="208" t="n">
        <f>IF('Registro Diario'!J13="Sí",I33+1,0)</f>
        <v>0</v>
      </c>
      <c r="K33" s="208" t="n">
        <f>IF('Registro Diario'!K13="Sí",J33+1,0)</f>
        <v>1</v>
      </c>
      <c r="L33" s="208" t="n">
        <f>IF('Registro Diario'!L13="Sí",K33+1,0)</f>
        <v>2</v>
      </c>
      <c r="M33" s="208" t="n">
        <f>IF('Registro Diario'!M13="Sí",L33+1,0)</f>
        <v>0</v>
      </c>
      <c r="N33" s="208" t="n">
        <f>IF('Registro Diario'!N13="Sí",M33+1,0)</f>
        <v>0</v>
      </c>
      <c r="O33" s="208" t="n">
        <f>IF('Registro Diario'!O13="Sí",N33+1,0)</f>
        <v>1</v>
      </c>
      <c r="P33" s="208" t="n">
        <f>IF('Registro Diario'!P13="Sí",O33+1,0)</f>
        <v>2</v>
      </c>
      <c r="Q33" s="208" t="n">
        <f>IF('Registro Diario'!Q13="Sí",P33+1,0)</f>
        <v>3</v>
      </c>
      <c r="R33" s="208" t="n">
        <f>IF('Registro Diario'!R13="Sí",Q33+1,0)</f>
        <v>0</v>
      </c>
      <c r="S33" s="208" t="n">
        <f>IF('Registro Diario'!S13="Sí",R33+1,0)</f>
        <v>1</v>
      </c>
      <c r="T33" s="208" t="n">
        <f>IF('Registro Diario'!T13="Sí",S33+1,0)</f>
        <v>2</v>
      </c>
      <c r="U33" s="208" t="n">
        <f>IF('Registro Diario'!U13="Sí",T33+1,0)</f>
        <v>3</v>
      </c>
      <c r="V33" s="208" t="n">
        <f>IF('Registro Diario'!V13="Sí",U33+1,0)</f>
        <v>0</v>
      </c>
      <c r="W33" s="208" t="n">
        <f>IF('Registro Diario'!W13="Sí",V33+1,0)</f>
        <v>0</v>
      </c>
      <c r="X33" s="208" t="n">
        <f>IF('Registro Diario'!X13="Sí",W33+1,0)</f>
        <v>1</v>
      </c>
      <c r="Y33" s="208" t="n">
        <f>IF('Registro Diario'!Y13="Sí",X33+1,0)</f>
        <v>2</v>
      </c>
      <c r="Z33" s="208" t="n">
        <f>IF('Registro Diario'!Z13="Sí",Y33+1,0)</f>
        <v>0</v>
      </c>
      <c r="AA33" s="208" t="n">
        <f>IF('Registro Diario'!AA13="Sí",Z33+1,0)</f>
        <v>0</v>
      </c>
      <c r="AB33" s="210" t="n">
        <f>A79</f>
        <v>31</v>
      </c>
      <c r="AC33" s="212" t="n">
        <f>C79</f>
        <v>0.65</v>
      </c>
      <c r="AD33" s="208" t="n">
        <f>IF('Registro Diario'!AD13="Sí",AC33+1,0)</f>
        <v>1.65</v>
      </c>
      <c r="AE33" s="208" t="n">
        <f>IF('Registro Diario'!AE13="Sí",AD33+1,0)</f>
        <v>0</v>
      </c>
      <c r="AF33" s="208" t="n">
        <f>IF('Registro Diario'!AF13="Sí",AE33+1,0)</f>
        <v>1</v>
      </c>
      <c r="AG33" s="208" t="n">
        <f>IF('Registro Diario'!AG13="Sí",AF33+1,0)</f>
        <v>2</v>
      </c>
      <c r="AH33" s="223" t="n">
        <f>IF('Registro Diario'!AH13="Sí",AG33+1,0)</f>
        <v>3</v>
      </c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3"/>
      <c r="AX33" s="183"/>
      <c r="AY33" s="183"/>
      <c r="AZ33" s="183"/>
    </row>
    <row r="34" ht="15" hidden="0" customHeight="1">
      <c r="A34" s="207" t="str">
        <f>'Configuracion'!A13</f>
        <v>H09</v>
      </c>
      <c r="B34" s="208" t="str">
        <f>'Configuracion'!B13</f>
        <v>Meditar / orar</v>
      </c>
      <c r="C34" s="208" t="str">
        <f>'Configuracion'!C13</f>
        <v>Espiritualidad</v>
      </c>
      <c r="D34" s="208" t="n">
        <f>IF('Registro Diario'!D14="Sí",0+1,0)</f>
        <v>1</v>
      </c>
      <c r="E34" s="208" t="n">
        <f>IF('Registro Diario'!E14="Sí",D34+1,0)</f>
        <v>2</v>
      </c>
      <c r="F34" s="208" t="n">
        <f>IF('Registro Diario'!F14="Sí",E34+1,0)</f>
        <v>3</v>
      </c>
      <c r="G34" s="208" t="n">
        <f>IF('Registro Diario'!G14="Sí",F34+1,0)</f>
        <v>0</v>
      </c>
      <c r="H34" s="208" t="n">
        <f>IF('Registro Diario'!H14="Sí",G34+1,0)</f>
        <v>1</v>
      </c>
      <c r="I34" s="208" t="n">
        <f>IF('Registro Diario'!I14="Sí",H34+1,0)</f>
        <v>2</v>
      </c>
      <c r="J34" s="208" t="n">
        <f>IF('Registro Diario'!J14="Sí",I34+1,0)</f>
        <v>3</v>
      </c>
      <c r="K34" s="208" t="n">
        <f>IF('Registro Diario'!K14="Sí",J34+1,0)</f>
        <v>0</v>
      </c>
      <c r="L34" s="208" t="n">
        <f>IF('Registro Diario'!L14="Sí",K34+1,0)</f>
        <v>0</v>
      </c>
      <c r="M34" s="208" t="n">
        <f>IF('Registro Diario'!M14="Sí",L34+1,0)</f>
        <v>1</v>
      </c>
      <c r="N34" s="208" t="n">
        <f>IF('Registro Diario'!N14="Sí",M34+1,0)</f>
        <v>2</v>
      </c>
      <c r="O34" s="208" t="n">
        <f>IF('Registro Diario'!O14="Sí",N34+1,0)</f>
        <v>0</v>
      </c>
      <c r="P34" s="208" t="n">
        <f>IF('Registro Diario'!P14="Sí",O34+1,0)</f>
        <v>0</v>
      </c>
      <c r="Q34" s="208" t="n">
        <f>IF('Registro Diario'!Q14="Sí",P34+1,0)</f>
        <v>1</v>
      </c>
      <c r="R34" s="208" t="n">
        <f>IF('Registro Diario'!R14="Sí",Q34+1,0)</f>
        <v>2</v>
      </c>
      <c r="S34" s="208" t="n">
        <f>IF('Registro Diario'!S14="Sí",R34+1,0)</f>
        <v>3</v>
      </c>
      <c r="T34" s="208" t="n">
        <f>IF('Registro Diario'!T14="Sí",S34+1,0)</f>
        <v>0</v>
      </c>
      <c r="U34" s="208" t="n">
        <f>IF('Registro Diario'!U14="Sí",T34+1,0)</f>
        <v>1</v>
      </c>
      <c r="V34" s="208" t="n">
        <f>IF('Registro Diario'!V14="Sí",U34+1,0)</f>
        <v>2</v>
      </c>
      <c r="W34" s="208" t="n">
        <f>IF('Registro Diario'!W14="Sí",V34+1,0)</f>
        <v>3</v>
      </c>
      <c r="X34" s="208" t="n">
        <f>IF('Registro Diario'!X14="Sí",W34+1,0)</f>
        <v>0</v>
      </c>
      <c r="Y34" s="208" t="n">
        <f>IF('Registro Diario'!Y14="Sí",X34+1,0)</f>
        <v>0</v>
      </c>
      <c r="Z34" s="208" t="n">
        <f>IF('Registro Diario'!Z14="Sí",Y34+1,0)</f>
        <v>1</v>
      </c>
      <c r="AA34" s="208" t="n">
        <f>IF('Registro Diario'!AA14="Sí",Z34+1,0)</f>
        <v>2</v>
      </c>
      <c r="AB34" s="208" t="n">
        <f>IF('Registro Diario'!AB14="Sí",AA34+1,0)</f>
        <v>0</v>
      </c>
      <c r="AC34" s="208" t="n">
        <f>IF('Registro Diario'!AC14="Sí",AB34+1,0)</f>
        <v>0</v>
      </c>
      <c r="AD34" s="208" t="n">
        <f>IF('Registro Diario'!AD14="Sí",AC34+1,0)</f>
        <v>1</v>
      </c>
      <c r="AE34" s="208" t="n">
        <f>IF('Registro Diario'!AE14="Sí",AD34+1,0)</f>
        <v>2</v>
      </c>
      <c r="AF34" s="208" t="n">
        <f>IF('Registro Diario'!AF14="Sí",AE34+1,0)</f>
        <v>3</v>
      </c>
      <c r="AG34" s="208" t="n">
        <f>IF('Registro Diario'!AG14="Sí",AF34+1,0)</f>
        <v>0</v>
      </c>
      <c r="AH34" s="223" t="n">
        <f>IF('Registro Diario'!AH14="Sí",AG34+1,0)</f>
        <v>1</v>
      </c>
      <c r="AI34" s="183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3"/>
    </row>
    <row r="35" ht="15" hidden="0" customHeight="1">
      <c r="A35" s="207" t="str">
        <f>'Configuracion'!A14</f>
        <v>H10</v>
      </c>
      <c r="B35" s="208" t="str">
        <f>'Configuracion'!B14</f>
        <v>Ordenar escritorio</v>
      </c>
      <c r="C35" s="208" t="str">
        <f>'Configuracion'!C14</f>
        <v>Trabajo</v>
      </c>
      <c r="D35" s="208" t="n">
        <f>IF('Registro Diario'!D15="Sí",0+1,0)</f>
        <v>0</v>
      </c>
      <c r="E35" s="208" t="n">
        <f>IF('Registro Diario'!E15="Sí",D35+1,0)</f>
        <v>0</v>
      </c>
      <c r="F35" s="208" t="n">
        <f>IF('Registro Diario'!F15="Sí",E35+1,0)</f>
        <v>1</v>
      </c>
      <c r="G35" s="208" t="n">
        <f>IF('Registro Diario'!G15="Sí",F35+1,0)</f>
        <v>2</v>
      </c>
      <c r="H35" s="208" t="n">
        <f>IF('Registro Diario'!H15="Sí",G35+1,0)</f>
        <v>3</v>
      </c>
      <c r="I35" s="208" t="n">
        <f>IF('Registro Diario'!I15="Sí",H35+1,0)</f>
        <v>0</v>
      </c>
      <c r="J35" s="208" t="n">
        <f>IF('Registro Diario'!J15="Sí",I35+1,0)</f>
        <v>1</v>
      </c>
      <c r="K35" s="208" t="n">
        <f>IF('Registro Diario'!K15="Sí",J35+1,0)</f>
        <v>2</v>
      </c>
      <c r="L35" s="208" t="n">
        <f>IF('Registro Diario'!L15="Sí",K35+1,0)</f>
        <v>3</v>
      </c>
      <c r="M35" s="208" t="n">
        <f>IF('Registro Diario'!M15="Sí",L35+1,0)</f>
        <v>0</v>
      </c>
      <c r="N35" s="208" t="n">
        <f>IF('Registro Diario'!N15="Sí",M35+1,0)</f>
        <v>0</v>
      </c>
      <c r="O35" s="208" t="n">
        <f>IF('Registro Diario'!O15="Sí",N35+1,0)</f>
        <v>1</v>
      </c>
      <c r="P35" s="208" t="n">
        <f>IF('Registro Diario'!P15="Sí",O35+1,0)</f>
        <v>2</v>
      </c>
      <c r="Q35" s="208" t="n">
        <f>IF('Registro Diario'!Q15="Sí",P35+1,0)</f>
        <v>0</v>
      </c>
      <c r="R35" s="208" t="n">
        <f>IF('Registro Diario'!R15="Sí",Q35+1,0)</f>
        <v>0</v>
      </c>
      <c r="S35" s="208" t="n">
        <f>IF('Registro Diario'!S15="Sí",R35+1,0)</f>
        <v>1</v>
      </c>
      <c r="T35" s="208" t="n">
        <f>IF('Registro Diario'!T15="Sí",S35+1,0)</f>
        <v>2</v>
      </c>
      <c r="U35" s="208" t="n">
        <f>IF('Registro Diario'!U15="Sí",T35+1,0)</f>
        <v>3</v>
      </c>
      <c r="V35" s="208" t="n">
        <f>IF('Registro Diario'!V15="Sí",U35+1,0)</f>
        <v>0</v>
      </c>
      <c r="W35" s="208" t="n">
        <f>IF('Registro Diario'!W15="Sí",V35+1,0)</f>
        <v>1</v>
      </c>
      <c r="X35" s="208" t="n">
        <f>IF('Registro Diario'!X15="Sí",W35+1,0)</f>
        <v>2</v>
      </c>
      <c r="Y35" s="208" t="n">
        <f>IF('Registro Diario'!Y15="Sí",X35+1,0)</f>
        <v>3</v>
      </c>
      <c r="Z35" s="208" t="n">
        <f>IF('Registro Diario'!Z15="Sí",Y35+1,0)</f>
        <v>0</v>
      </c>
      <c r="AA35" s="208" t="n">
        <f>IF('Registro Diario'!AA15="Sí",Z35+1,0)</f>
        <v>0</v>
      </c>
      <c r="AB35" s="208" t="n">
        <f>IF('Registro Diario'!AB15="Sí",AA35+1,0)</f>
        <v>1</v>
      </c>
      <c r="AC35" s="208" t="n">
        <f>IF('Registro Diario'!AC15="Sí",AB35+1,0)</f>
        <v>2</v>
      </c>
      <c r="AD35" s="208" t="n">
        <f>IF('Registro Diario'!AD15="Sí",AC35+1,0)</f>
        <v>0</v>
      </c>
      <c r="AE35" s="208" t="n">
        <f>IF('Registro Diario'!AE15="Sí",AD35+1,0)</f>
        <v>0</v>
      </c>
      <c r="AF35" s="208" t="n">
        <f>IF('Registro Diario'!AF15="Sí",AE35+1,0)</f>
        <v>1</v>
      </c>
      <c r="AG35" s="208" t="n">
        <f>IF('Registro Diario'!AG15="Sí",AF35+1,0)</f>
        <v>2</v>
      </c>
      <c r="AH35" s="223" t="n">
        <f>IF('Registro Diario'!AH15="Sí",AG35+1,0)</f>
        <v>3</v>
      </c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</row>
    <row r="36" ht="15" hidden="0" customHeight="1">
      <c r="A36" s="207" t="str">
        <f>'Configuracion'!A15</f>
        <v>H11</v>
      </c>
      <c r="B36" s="208" t="n">
        <f>'Configuracion'!B15</f>
        <v>0</v>
      </c>
      <c r="C36" s="208" t="n">
        <f>'Configuracion'!C15</f>
        <v>0</v>
      </c>
      <c r="D36" s="208" t="n">
        <f>IF('Registro Diario'!D16="Sí",0+1,0)</f>
        <v>0</v>
      </c>
      <c r="E36" s="208" t="n">
        <f>IF('Registro Diario'!E16="Sí",D36+1,0)</f>
        <v>0</v>
      </c>
      <c r="F36" s="208" t="n">
        <f>IF('Registro Diario'!F16="Sí",E36+1,0)</f>
        <v>0</v>
      </c>
      <c r="G36" s="208" t="n">
        <f>IF('Registro Diario'!G16="Sí",F36+1,0)</f>
        <v>0</v>
      </c>
      <c r="H36" s="208" t="n">
        <f>IF('Registro Diario'!H16="Sí",G36+1,0)</f>
        <v>0</v>
      </c>
      <c r="I36" s="208" t="n">
        <f>IF('Registro Diario'!I16="Sí",H36+1,0)</f>
        <v>0</v>
      </c>
      <c r="J36" s="208" t="n">
        <f>IF('Registro Diario'!J16="Sí",I36+1,0)</f>
        <v>0</v>
      </c>
      <c r="K36" s="208" t="n">
        <f>IF('Registro Diario'!K16="Sí",J36+1,0)</f>
        <v>0</v>
      </c>
      <c r="L36" s="208" t="n">
        <f>IF('Registro Diario'!L16="Sí",K36+1,0)</f>
        <v>0</v>
      </c>
      <c r="M36" s="208" t="n">
        <f>IF('Registro Diario'!M16="Sí",L36+1,0)</f>
        <v>0</v>
      </c>
      <c r="N36" s="208" t="n">
        <f>IF('Registro Diario'!N16="Sí",M36+1,0)</f>
        <v>0</v>
      </c>
      <c r="O36" s="208" t="n">
        <f>IF('Registro Diario'!O16="Sí",N36+1,0)</f>
        <v>0</v>
      </c>
      <c r="P36" s="208" t="n">
        <f>IF('Registro Diario'!P16="Sí",O36+1,0)</f>
        <v>0</v>
      </c>
      <c r="Q36" s="208" t="n">
        <f>IF('Registro Diario'!Q16="Sí",P36+1,0)</f>
        <v>0</v>
      </c>
      <c r="R36" s="208" t="n">
        <f>IF('Registro Diario'!R16="Sí",Q36+1,0)</f>
        <v>0</v>
      </c>
      <c r="S36" s="208" t="n">
        <f>IF('Registro Diario'!S16="Sí",R36+1,0)</f>
        <v>0</v>
      </c>
      <c r="T36" s="208" t="n">
        <f>IF('Registro Diario'!T16="Sí",S36+1,0)</f>
        <v>0</v>
      </c>
      <c r="U36" s="208" t="n">
        <f>IF('Registro Diario'!U16="Sí",T36+1,0)</f>
        <v>0</v>
      </c>
      <c r="V36" s="208" t="n">
        <f>IF('Registro Diario'!V16="Sí",U36+1,0)</f>
        <v>0</v>
      </c>
      <c r="W36" s="208" t="n">
        <f>IF('Registro Diario'!W16="Sí",V36+1,0)</f>
        <v>0</v>
      </c>
      <c r="X36" s="208" t="n">
        <f>IF('Registro Diario'!X16="Sí",W36+1,0)</f>
        <v>0</v>
      </c>
      <c r="Y36" s="208" t="n">
        <f>IF('Registro Diario'!Y16="Sí",X36+1,0)</f>
        <v>0</v>
      </c>
      <c r="Z36" s="208" t="n">
        <f>IF('Registro Diario'!Z16="Sí",Y36+1,0)</f>
        <v>0</v>
      </c>
      <c r="AA36" s="208" t="n">
        <f>IF('Registro Diario'!AA16="Sí",Z36+1,0)</f>
        <v>0</v>
      </c>
      <c r="AB36" s="208" t="n">
        <f>IF('Registro Diario'!AB16="Sí",AA36+1,0)</f>
        <v>0</v>
      </c>
      <c r="AC36" s="208" t="n">
        <f>IF('Registro Diario'!AC16="Sí",AB36+1,0)</f>
        <v>0</v>
      </c>
      <c r="AD36" s="208" t="n">
        <f>IF('Registro Diario'!AD16="Sí",AC36+1,0)</f>
        <v>0</v>
      </c>
      <c r="AE36" s="208" t="n">
        <f>IF('Registro Diario'!AE16="Sí",AD36+1,0)</f>
        <v>0</v>
      </c>
      <c r="AF36" s="208" t="n">
        <f>IF('Registro Diario'!AF16="Sí",AE36+1,0)</f>
        <v>0</v>
      </c>
      <c r="AG36" s="208" t="n">
        <f>IF('Registro Diario'!AG16="Sí",AF36+1,0)</f>
        <v>0</v>
      </c>
      <c r="AH36" s="223" t="n">
        <f>IF('Registro Diario'!AH16="Sí",AG36+1,0)</f>
        <v>0</v>
      </c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83"/>
      <c r="AY36" s="183"/>
      <c r="AZ36" s="183"/>
    </row>
    <row r="37" ht="15" hidden="0" customHeight="1">
      <c r="A37" s="207" t="str">
        <f>'Configuracion'!A16</f>
        <v>H12</v>
      </c>
      <c r="B37" s="208" t="n">
        <f>'Configuracion'!B16</f>
        <v>0</v>
      </c>
      <c r="C37" s="208" t="n">
        <f>'Configuracion'!C16</f>
        <v>0</v>
      </c>
      <c r="D37" s="208" t="n">
        <f>IF('Registro Diario'!D17="Sí",0+1,0)</f>
        <v>0</v>
      </c>
      <c r="E37" s="208" t="n">
        <f>IF('Registro Diario'!E17="Sí",D37+1,0)</f>
        <v>0</v>
      </c>
      <c r="F37" s="208" t="n">
        <f>IF('Registro Diario'!F17="Sí",E37+1,0)</f>
        <v>0</v>
      </c>
      <c r="G37" s="208" t="n">
        <f>IF('Registro Diario'!G17="Sí",F37+1,0)</f>
        <v>0</v>
      </c>
      <c r="H37" s="208" t="n">
        <f>IF('Registro Diario'!H17="Sí",G37+1,0)</f>
        <v>0</v>
      </c>
      <c r="I37" s="208" t="n">
        <f>IF('Registro Diario'!I17="Sí",H37+1,0)</f>
        <v>0</v>
      </c>
      <c r="J37" s="208" t="n">
        <f>IF('Registro Diario'!J17="Sí",I37+1,0)</f>
        <v>0</v>
      </c>
      <c r="K37" s="208" t="n">
        <f>IF('Registro Diario'!K17="Sí",J37+1,0)</f>
        <v>0</v>
      </c>
      <c r="L37" s="208" t="n">
        <f>IF('Registro Diario'!L17="Sí",K37+1,0)</f>
        <v>0</v>
      </c>
      <c r="M37" s="208" t="n">
        <f>IF('Registro Diario'!M17="Sí",L37+1,0)</f>
        <v>0</v>
      </c>
      <c r="N37" s="208" t="n">
        <f>IF('Registro Diario'!N17="Sí",M37+1,0)</f>
        <v>0</v>
      </c>
      <c r="O37" s="208" t="n">
        <f>IF('Registro Diario'!O17="Sí",N37+1,0)</f>
        <v>0</v>
      </c>
      <c r="P37" s="208" t="n">
        <f>IF('Registro Diario'!P17="Sí",O37+1,0)</f>
        <v>0</v>
      </c>
      <c r="Q37" s="208" t="n">
        <f>IF('Registro Diario'!Q17="Sí",P37+1,0)</f>
        <v>0</v>
      </c>
      <c r="R37" s="208" t="n">
        <f>IF('Registro Diario'!R17="Sí",Q37+1,0)</f>
        <v>0</v>
      </c>
      <c r="S37" s="208" t="n">
        <f>IF('Registro Diario'!S17="Sí",R37+1,0)</f>
        <v>0</v>
      </c>
      <c r="T37" s="208" t="n">
        <f>IF('Registro Diario'!T17="Sí",S37+1,0)</f>
        <v>0</v>
      </c>
      <c r="U37" s="208" t="n">
        <f>IF('Registro Diario'!U17="Sí",T37+1,0)</f>
        <v>0</v>
      </c>
      <c r="V37" s="208" t="n">
        <f>IF('Registro Diario'!V17="Sí",U37+1,0)</f>
        <v>0</v>
      </c>
      <c r="W37" s="208" t="n">
        <f>IF('Registro Diario'!W17="Sí",V37+1,0)</f>
        <v>0</v>
      </c>
      <c r="X37" s="208" t="n">
        <f>IF('Registro Diario'!X17="Sí",W37+1,0)</f>
        <v>0</v>
      </c>
      <c r="Y37" s="208" t="n">
        <f>IF('Registro Diario'!Y17="Sí",X37+1,0)</f>
        <v>0</v>
      </c>
      <c r="Z37" s="208" t="n">
        <f>IF('Registro Diario'!Z17="Sí",Y37+1,0)</f>
        <v>0</v>
      </c>
      <c r="AA37" s="208" t="n">
        <f>IF('Registro Diario'!AA17="Sí",Z37+1,0)</f>
        <v>0</v>
      </c>
      <c r="AB37" s="208" t="n">
        <f>IF('Registro Diario'!AB17="Sí",AA37+1,0)</f>
        <v>0</v>
      </c>
      <c r="AC37" s="208" t="n">
        <f>IF('Registro Diario'!AC17="Sí",AB37+1,0)</f>
        <v>0</v>
      </c>
      <c r="AD37" s="208" t="n">
        <f>IF('Registro Diario'!AD17="Sí",AC37+1,0)</f>
        <v>0</v>
      </c>
      <c r="AE37" s="208" t="n">
        <f>IF('Registro Diario'!AE17="Sí",AD37+1,0)</f>
        <v>0</v>
      </c>
      <c r="AF37" s="208" t="n">
        <f>IF('Registro Diario'!AF17="Sí",AE37+1,0)</f>
        <v>0</v>
      </c>
      <c r="AG37" s="208" t="n">
        <f>IF('Registro Diario'!AG17="Sí",AF37+1,0)</f>
        <v>0</v>
      </c>
      <c r="AH37" s="223" t="n">
        <f>IF('Registro Diario'!AH17="Sí",AG37+1,0)</f>
        <v>0</v>
      </c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3"/>
      <c r="AX37" s="183"/>
      <c r="AY37" s="183"/>
      <c r="AZ37" s="183"/>
    </row>
    <row r="38" ht="15" hidden="0" customHeight="1">
      <c r="A38" s="207" t="str">
        <f>'Configuracion'!A17</f>
        <v>H13</v>
      </c>
      <c r="B38" s="208" t="n">
        <f>'Configuracion'!B17</f>
        <v>0</v>
      </c>
      <c r="C38" s="208" t="n">
        <f>'Configuracion'!C17</f>
        <v>0</v>
      </c>
      <c r="D38" s="208" t="n">
        <f>IF('Registro Diario'!D18="Sí",0+1,0)</f>
        <v>0</v>
      </c>
      <c r="E38" s="208" t="n">
        <f>IF('Registro Diario'!E18="Sí",D38+1,0)</f>
        <v>0</v>
      </c>
      <c r="F38" s="208" t="n">
        <f>IF('Registro Diario'!F18="Sí",E38+1,0)</f>
        <v>0</v>
      </c>
      <c r="G38" s="208" t="n">
        <f>IF('Registro Diario'!G18="Sí",F38+1,0)</f>
        <v>0</v>
      </c>
      <c r="H38" s="208" t="n">
        <f>IF('Registro Diario'!H18="Sí",G38+1,0)</f>
        <v>0</v>
      </c>
      <c r="I38" s="208" t="n">
        <f>IF('Registro Diario'!I18="Sí",H38+1,0)</f>
        <v>0</v>
      </c>
      <c r="J38" s="208" t="n">
        <f>IF('Registro Diario'!J18="Sí",I38+1,0)</f>
        <v>0</v>
      </c>
      <c r="K38" s="208" t="n">
        <f>IF('Registro Diario'!K18="Sí",J38+1,0)</f>
        <v>0</v>
      </c>
      <c r="L38" s="208" t="n">
        <f>IF('Registro Diario'!L18="Sí",K38+1,0)</f>
        <v>0</v>
      </c>
      <c r="M38" s="208" t="n">
        <f>IF('Registro Diario'!M18="Sí",L38+1,0)</f>
        <v>0</v>
      </c>
      <c r="N38" s="208" t="n">
        <f>IF('Registro Diario'!N18="Sí",M38+1,0)</f>
        <v>0</v>
      </c>
      <c r="O38" s="208" t="n">
        <f>IF('Registro Diario'!O18="Sí",N38+1,0)</f>
        <v>0</v>
      </c>
      <c r="P38" s="208" t="n">
        <f>IF('Registro Diario'!P18="Sí",O38+1,0)</f>
        <v>0</v>
      </c>
      <c r="Q38" s="208" t="n">
        <f>IF('Registro Diario'!Q18="Sí",P38+1,0)</f>
        <v>0</v>
      </c>
      <c r="R38" s="208" t="n">
        <f>IF('Registro Diario'!R18="Sí",Q38+1,0)</f>
        <v>0</v>
      </c>
      <c r="S38" s="208" t="n">
        <f>IF('Registro Diario'!S18="Sí",R38+1,0)</f>
        <v>0</v>
      </c>
      <c r="T38" s="208" t="n">
        <f>IF('Registro Diario'!T18="Sí",S38+1,0)</f>
        <v>0</v>
      </c>
      <c r="U38" s="208" t="n">
        <f>IF('Registro Diario'!U18="Sí",T38+1,0)</f>
        <v>0</v>
      </c>
      <c r="V38" s="208" t="n">
        <f>IF('Registro Diario'!V18="Sí",U38+1,0)</f>
        <v>0</v>
      </c>
      <c r="W38" s="208" t="n">
        <f>IF('Registro Diario'!W18="Sí",V38+1,0)</f>
        <v>0</v>
      </c>
      <c r="X38" s="208" t="n">
        <f>IF('Registro Diario'!X18="Sí",W38+1,0)</f>
        <v>0</v>
      </c>
      <c r="Y38" s="208" t="n">
        <f>IF('Registro Diario'!Y18="Sí",X38+1,0)</f>
        <v>0</v>
      </c>
      <c r="Z38" s="208" t="n">
        <f>IF('Registro Diario'!Z18="Sí",Y38+1,0)</f>
        <v>0</v>
      </c>
      <c r="AA38" s="208" t="n">
        <f>IF('Registro Diario'!AA18="Sí",Z38+1,0)</f>
        <v>0</v>
      </c>
      <c r="AB38" s="208" t="n">
        <f>IF('Registro Diario'!AB18="Sí",AA38+1,0)</f>
        <v>0</v>
      </c>
      <c r="AC38" s="208" t="n">
        <f>IF('Registro Diario'!AC18="Sí",AB38+1,0)</f>
        <v>0</v>
      </c>
      <c r="AD38" s="208" t="n">
        <f>IF('Registro Diario'!AD18="Sí",AC38+1,0)</f>
        <v>0</v>
      </c>
      <c r="AE38" s="208" t="n">
        <f>IF('Registro Diario'!AE18="Sí",AD38+1,0)</f>
        <v>0</v>
      </c>
      <c r="AF38" s="208" t="n">
        <f>IF('Registro Diario'!AF18="Sí",AE38+1,0)</f>
        <v>0</v>
      </c>
      <c r="AG38" s="208" t="n">
        <f>IF('Registro Diario'!AG18="Sí",AF38+1,0)</f>
        <v>0</v>
      </c>
      <c r="AH38" s="223" t="n">
        <f>IF('Registro Diario'!AH18="Sí",AG38+1,0)</f>
        <v>0</v>
      </c>
      <c r="AI38" s="183"/>
      <c r="AJ38" s="183"/>
      <c r="AK38" s="183"/>
      <c r="AL38" s="183"/>
      <c r="AM38" s="183"/>
      <c r="AN38" s="183"/>
      <c r="AO38" s="183"/>
      <c r="AP38" s="183"/>
      <c r="AQ38" s="183"/>
      <c r="AR38" s="183"/>
      <c r="AS38" s="183"/>
      <c r="AT38" s="183"/>
      <c r="AU38" s="183"/>
      <c r="AV38" s="183"/>
      <c r="AW38" s="183"/>
      <c r="AX38" s="183"/>
      <c r="AY38" s="183"/>
      <c r="AZ38" s="183"/>
    </row>
    <row r="39" ht="15" hidden="0" customHeight="1">
      <c r="A39" s="207" t="str">
        <f>'Configuracion'!A18</f>
        <v>H14</v>
      </c>
      <c r="B39" s="208" t="n">
        <f>'Configuracion'!B18</f>
        <v>0</v>
      </c>
      <c r="C39" s="208" t="n">
        <f>'Configuracion'!C18</f>
        <v>0</v>
      </c>
      <c r="D39" s="208" t="n">
        <f>IF('Registro Diario'!D19="Sí",0+1,0)</f>
        <v>0</v>
      </c>
      <c r="E39" s="208" t="n">
        <f>IF('Registro Diario'!E19="Sí",D39+1,0)</f>
        <v>0</v>
      </c>
      <c r="F39" s="208" t="n">
        <f>IF('Registro Diario'!F19="Sí",E39+1,0)</f>
        <v>0</v>
      </c>
      <c r="G39" s="208" t="n">
        <f>IF('Registro Diario'!G19="Sí",F39+1,0)</f>
        <v>0</v>
      </c>
      <c r="H39" s="208" t="n">
        <f>IF('Registro Diario'!H19="Sí",G39+1,0)</f>
        <v>0</v>
      </c>
      <c r="I39" s="208" t="n">
        <f>IF('Registro Diario'!I19="Sí",H39+1,0)</f>
        <v>0</v>
      </c>
      <c r="J39" s="208" t="n">
        <f>IF('Registro Diario'!J19="Sí",I39+1,0)</f>
        <v>0</v>
      </c>
      <c r="K39" s="208" t="n">
        <f>IF('Registro Diario'!K19="Sí",J39+1,0)</f>
        <v>0</v>
      </c>
      <c r="L39" s="208" t="n">
        <f>IF('Registro Diario'!L19="Sí",K39+1,0)</f>
        <v>0</v>
      </c>
      <c r="M39" s="208" t="n">
        <f>IF('Registro Diario'!M19="Sí",L39+1,0)</f>
        <v>0</v>
      </c>
      <c r="N39" s="208" t="n">
        <f>IF('Registro Diario'!N19="Sí",M39+1,0)</f>
        <v>0</v>
      </c>
      <c r="O39" s="208" t="n">
        <f>IF('Registro Diario'!O19="Sí",N39+1,0)</f>
        <v>0</v>
      </c>
      <c r="P39" s="208" t="n">
        <f>IF('Registro Diario'!P19="Sí",O39+1,0)</f>
        <v>0</v>
      </c>
      <c r="Q39" s="208" t="n">
        <f>IF('Registro Diario'!Q19="Sí",P39+1,0)</f>
        <v>0</v>
      </c>
      <c r="R39" s="208" t="n">
        <f>IF('Registro Diario'!R19="Sí",Q39+1,0)</f>
        <v>0</v>
      </c>
      <c r="S39" s="208" t="n">
        <f>IF('Registro Diario'!S19="Sí",R39+1,0)</f>
        <v>0</v>
      </c>
      <c r="T39" s="208" t="n">
        <f>IF('Registro Diario'!T19="Sí",S39+1,0)</f>
        <v>0</v>
      </c>
      <c r="U39" s="208" t="n">
        <f>IF('Registro Diario'!U19="Sí",T39+1,0)</f>
        <v>0</v>
      </c>
      <c r="V39" s="208" t="n">
        <f>IF('Registro Diario'!V19="Sí",U39+1,0)</f>
        <v>0</v>
      </c>
      <c r="W39" s="208" t="n">
        <f>IF('Registro Diario'!W19="Sí",V39+1,0)</f>
        <v>0</v>
      </c>
      <c r="X39" s="208" t="n">
        <f>IF('Registro Diario'!X19="Sí",W39+1,0)</f>
        <v>0</v>
      </c>
      <c r="Y39" s="208" t="n">
        <f>IF('Registro Diario'!Y19="Sí",X39+1,0)</f>
        <v>0</v>
      </c>
      <c r="Z39" s="208" t="n">
        <f>IF('Registro Diario'!Z19="Sí",Y39+1,0)</f>
        <v>0</v>
      </c>
      <c r="AA39" s="208" t="n">
        <f>IF('Registro Diario'!AA19="Sí",Z39+1,0)</f>
        <v>0</v>
      </c>
      <c r="AB39" s="208" t="n">
        <f>IF('Registro Diario'!AB19="Sí",AA39+1,0)</f>
        <v>0</v>
      </c>
      <c r="AC39" s="208" t="n">
        <f>IF('Registro Diario'!AC19="Sí",AB39+1,0)</f>
        <v>0</v>
      </c>
      <c r="AD39" s="208" t="n">
        <f>IF('Registro Diario'!AD19="Sí",AC39+1,0)</f>
        <v>0</v>
      </c>
      <c r="AE39" s="208" t="n">
        <f>IF('Registro Diario'!AE19="Sí",AD39+1,0)</f>
        <v>0</v>
      </c>
      <c r="AF39" s="208" t="n">
        <f>IF('Registro Diario'!AF19="Sí",AE39+1,0)</f>
        <v>0</v>
      </c>
      <c r="AG39" s="208" t="n">
        <f>IF('Registro Diario'!AG19="Sí",AF39+1,0)</f>
        <v>0</v>
      </c>
      <c r="AH39" s="223" t="n">
        <f>IF('Registro Diario'!AH19="Sí",AG39+1,0)</f>
        <v>0</v>
      </c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</row>
    <row r="40" ht="15" hidden="0" customHeight="1">
      <c r="A40" s="207" t="str">
        <f>'Configuracion'!A19</f>
        <v>H15</v>
      </c>
      <c r="B40" s="208" t="n">
        <f>'Configuracion'!B19</f>
        <v>0</v>
      </c>
      <c r="C40" s="208" t="n">
        <f>'Configuracion'!C19</f>
        <v>0</v>
      </c>
      <c r="D40" s="208" t="n">
        <f>IF('Registro Diario'!D20="Sí",0+1,0)</f>
        <v>0</v>
      </c>
      <c r="E40" s="208" t="n">
        <f>IF('Registro Diario'!E20="Sí",D40+1,0)</f>
        <v>0</v>
      </c>
      <c r="F40" s="208" t="n">
        <f>IF('Registro Diario'!F20="Sí",E40+1,0)</f>
        <v>0</v>
      </c>
      <c r="G40" s="208" t="n">
        <f>IF('Registro Diario'!G20="Sí",F40+1,0)</f>
        <v>0</v>
      </c>
      <c r="H40" s="208" t="n">
        <f>IF('Registro Diario'!H20="Sí",G40+1,0)</f>
        <v>0</v>
      </c>
      <c r="I40" s="208" t="n">
        <f>IF('Registro Diario'!I20="Sí",H40+1,0)</f>
        <v>0</v>
      </c>
      <c r="J40" s="208" t="n">
        <f>IF('Registro Diario'!J20="Sí",I40+1,0)</f>
        <v>0</v>
      </c>
      <c r="K40" s="208" t="n">
        <f>IF('Registro Diario'!K20="Sí",J40+1,0)</f>
        <v>0</v>
      </c>
      <c r="L40" s="208" t="n">
        <f>IF('Registro Diario'!L20="Sí",K40+1,0)</f>
        <v>0</v>
      </c>
      <c r="M40" s="208" t="n">
        <f>IF('Registro Diario'!M20="Sí",L40+1,0)</f>
        <v>0</v>
      </c>
      <c r="N40" s="208" t="n">
        <f>IF('Registro Diario'!N20="Sí",M40+1,0)</f>
        <v>0</v>
      </c>
      <c r="O40" s="208" t="n">
        <f>IF('Registro Diario'!O20="Sí",N40+1,0)</f>
        <v>0</v>
      </c>
      <c r="P40" s="208" t="n">
        <f>IF('Registro Diario'!P20="Sí",O40+1,0)</f>
        <v>0</v>
      </c>
      <c r="Q40" s="208" t="n">
        <f>IF('Registro Diario'!Q20="Sí",P40+1,0)</f>
        <v>0</v>
      </c>
      <c r="R40" s="208" t="n">
        <f>IF('Registro Diario'!R20="Sí",Q40+1,0)</f>
        <v>0</v>
      </c>
      <c r="S40" s="208" t="n">
        <f>IF('Registro Diario'!S20="Sí",R40+1,0)</f>
        <v>0</v>
      </c>
      <c r="T40" s="208" t="n">
        <f>IF('Registro Diario'!T20="Sí",S40+1,0)</f>
        <v>0</v>
      </c>
      <c r="U40" s="208" t="n">
        <f>IF('Registro Diario'!U20="Sí",T40+1,0)</f>
        <v>0</v>
      </c>
      <c r="V40" s="208" t="n">
        <f>IF('Registro Diario'!V20="Sí",U40+1,0)</f>
        <v>0</v>
      </c>
      <c r="W40" s="208" t="n">
        <f>IF('Registro Diario'!W20="Sí",V40+1,0)</f>
        <v>0</v>
      </c>
      <c r="X40" s="208" t="n">
        <f>IF('Registro Diario'!X20="Sí",W40+1,0)</f>
        <v>0</v>
      </c>
      <c r="Y40" s="208" t="n">
        <f>IF('Registro Diario'!Y20="Sí",X40+1,0)</f>
        <v>0</v>
      </c>
      <c r="Z40" s="208" t="n">
        <f>IF('Registro Diario'!Z20="Sí",Y40+1,0)</f>
        <v>0</v>
      </c>
      <c r="AA40" s="208" t="n">
        <f>IF('Registro Diario'!AA20="Sí",Z40+1,0)</f>
        <v>0</v>
      </c>
      <c r="AB40" s="208" t="n">
        <f>IF('Registro Diario'!AB20="Sí",AA40+1,0)</f>
        <v>0</v>
      </c>
      <c r="AC40" s="208" t="n">
        <f>IF('Registro Diario'!AC20="Sí",AB40+1,0)</f>
        <v>0</v>
      </c>
      <c r="AD40" s="208" t="n">
        <f>IF('Registro Diario'!AD20="Sí",AC40+1,0)</f>
        <v>0</v>
      </c>
      <c r="AE40" s="208" t="n">
        <f>IF('Registro Diario'!AE20="Sí",AD40+1,0)</f>
        <v>0</v>
      </c>
      <c r="AF40" s="208" t="n">
        <f>IF('Registro Diario'!AF20="Sí",AE40+1,0)</f>
        <v>0</v>
      </c>
      <c r="AG40" s="208" t="n">
        <f>IF('Registro Diario'!AG20="Sí",AF40+1,0)</f>
        <v>0</v>
      </c>
      <c r="AH40" s="223" t="n">
        <f>IF('Registro Diario'!AH20="Sí",AG40+1,0)</f>
        <v>0</v>
      </c>
      <c r="AI40" s="183"/>
      <c r="AJ40" s="183"/>
      <c r="AK40" s="183"/>
      <c r="AL40" s="183"/>
      <c r="AM40" s="183"/>
      <c r="AN40" s="183"/>
      <c r="AO40" s="183"/>
      <c r="AP40" s="183"/>
      <c r="AQ40" s="183"/>
      <c r="AR40" s="183"/>
      <c r="AS40" s="183"/>
      <c r="AT40" s="183"/>
      <c r="AU40" s="183"/>
      <c r="AV40" s="183"/>
      <c r="AW40" s="183"/>
      <c r="AX40" s="183"/>
      <c r="AY40" s="183"/>
      <c r="AZ40" s="183"/>
    </row>
    <row r="41" ht="15" hidden="0" customHeight="1">
      <c r="A41" s="207" t="str">
        <f>'Configuracion'!A20</f>
        <v>H16</v>
      </c>
      <c r="B41" s="208" t="n">
        <f>'Configuracion'!B20</f>
        <v>0</v>
      </c>
      <c r="C41" s="208" t="n">
        <f>'Configuracion'!C20</f>
        <v>0</v>
      </c>
      <c r="D41" s="208" t="n">
        <f>IF('Registro Diario'!D21="Sí",0+1,0)</f>
        <v>0</v>
      </c>
      <c r="E41" s="208" t="n">
        <f>IF('Registro Diario'!E21="Sí",D41+1,0)</f>
        <v>0</v>
      </c>
      <c r="F41" s="208" t="n">
        <f>IF('Registro Diario'!F21="Sí",E41+1,0)</f>
        <v>0</v>
      </c>
      <c r="G41" s="208" t="n">
        <f>IF('Registro Diario'!G21="Sí",F41+1,0)</f>
        <v>0</v>
      </c>
      <c r="H41" s="208" t="n">
        <f>IF('Registro Diario'!H21="Sí",G41+1,0)</f>
        <v>0</v>
      </c>
      <c r="I41" s="208" t="n">
        <f>IF('Registro Diario'!I21="Sí",H41+1,0)</f>
        <v>0</v>
      </c>
      <c r="J41" s="208" t="n">
        <f>IF('Registro Diario'!J21="Sí",I41+1,0)</f>
        <v>0</v>
      </c>
      <c r="K41" s="208" t="n">
        <f>IF('Registro Diario'!K21="Sí",J41+1,0)</f>
        <v>0</v>
      </c>
      <c r="L41" s="208" t="n">
        <f>IF('Registro Diario'!L21="Sí",K41+1,0)</f>
        <v>0</v>
      </c>
      <c r="M41" s="208" t="n">
        <f>IF('Registro Diario'!M21="Sí",L41+1,0)</f>
        <v>0</v>
      </c>
      <c r="N41" s="208" t="n">
        <f>IF('Registro Diario'!N21="Sí",M41+1,0)</f>
        <v>0</v>
      </c>
      <c r="O41" s="208" t="n">
        <f>IF('Registro Diario'!O21="Sí",N41+1,0)</f>
        <v>0</v>
      </c>
      <c r="P41" s="208" t="n">
        <f>IF('Registro Diario'!P21="Sí",O41+1,0)</f>
        <v>0</v>
      </c>
      <c r="Q41" s="208" t="n">
        <f>IF('Registro Diario'!Q21="Sí",P41+1,0)</f>
        <v>0</v>
      </c>
      <c r="R41" s="208" t="n">
        <f>IF('Registro Diario'!R21="Sí",Q41+1,0)</f>
        <v>0</v>
      </c>
      <c r="S41" s="208" t="n">
        <f>IF('Registro Diario'!S21="Sí",R41+1,0)</f>
        <v>0</v>
      </c>
      <c r="T41" s="208" t="n">
        <f>IF('Registro Diario'!T21="Sí",S41+1,0)</f>
        <v>0</v>
      </c>
      <c r="U41" s="208" t="n">
        <f>IF('Registro Diario'!U21="Sí",T41+1,0)</f>
        <v>0</v>
      </c>
      <c r="V41" s="208" t="n">
        <f>IF('Registro Diario'!V21="Sí",U41+1,0)</f>
        <v>0</v>
      </c>
      <c r="W41" s="208" t="n">
        <f>IF('Registro Diario'!W21="Sí",V41+1,0)</f>
        <v>0</v>
      </c>
      <c r="X41" s="208" t="n">
        <f>IF('Registro Diario'!X21="Sí",W41+1,0)</f>
        <v>0</v>
      </c>
      <c r="Y41" s="208" t="n">
        <f>IF('Registro Diario'!Y21="Sí",X41+1,0)</f>
        <v>0</v>
      </c>
      <c r="Z41" s="208" t="n">
        <f>IF('Registro Diario'!Z21="Sí",Y41+1,0)</f>
        <v>0</v>
      </c>
      <c r="AA41" s="208" t="n">
        <f>IF('Registro Diario'!AA21="Sí",Z41+1,0)</f>
        <v>0</v>
      </c>
      <c r="AB41" s="208" t="n">
        <f>IF('Registro Diario'!AB21="Sí",AA41+1,0)</f>
        <v>0</v>
      </c>
      <c r="AC41" s="208" t="n">
        <f>IF('Registro Diario'!AC21="Sí",AB41+1,0)</f>
        <v>0</v>
      </c>
      <c r="AD41" s="208" t="n">
        <f>IF('Registro Diario'!AD21="Sí",AC41+1,0)</f>
        <v>0</v>
      </c>
      <c r="AE41" s="208" t="n">
        <f>IF('Registro Diario'!AE21="Sí",AD41+1,0)</f>
        <v>0</v>
      </c>
      <c r="AF41" s="208" t="n">
        <f>IF('Registro Diario'!AF21="Sí",AE41+1,0)</f>
        <v>0</v>
      </c>
      <c r="AG41" s="208" t="n">
        <f>IF('Registro Diario'!AG21="Sí",AF41+1,0)</f>
        <v>0</v>
      </c>
      <c r="AH41" s="223" t="n">
        <f>IF('Registro Diario'!AH21="Sí",AG41+1,0)</f>
        <v>0</v>
      </c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</row>
    <row r="42" ht="15" hidden="0" customHeight="1">
      <c r="A42" s="207" t="str">
        <f>'Configuracion'!A21</f>
        <v>H17</v>
      </c>
      <c r="B42" s="208" t="n">
        <f>'Configuracion'!B21</f>
        <v>0</v>
      </c>
      <c r="C42" s="208" t="n">
        <f>'Configuracion'!C21</f>
        <v>0</v>
      </c>
      <c r="D42" s="208" t="n">
        <f>IF('Registro Diario'!D22="Sí",0+1,0)</f>
        <v>0</v>
      </c>
      <c r="E42" s="208" t="n">
        <f>IF('Registro Diario'!E22="Sí",D42+1,0)</f>
        <v>0</v>
      </c>
      <c r="F42" s="208" t="n">
        <f>IF('Registro Diario'!F22="Sí",E42+1,0)</f>
        <v>0</v>
      </c>
      <c r="G42" s="208" t="n">
        <f>IF('Registro Diario'!G22="Sí",F42+1,0)</f>
        <v>0</v>
      </c>
      <c r="H42" s="208" t="n">
        <f>IF('Registro Diario'!H22="Sí",G42+1,0)</f>
        <v>0</v>
      </c>
      <c r="I42" s="208" t="n">
        <f>IF('Registro Diario'!I22="Sí",H42+1,0)</f>
        <v>0</v>
      </c>
      <c r="J42" s="208" t="n">
        <f>IF('Registro Diario'!J22="Sí",I42+1,0)</f>
        <v>0</v>
      </c>
      <c r="K42" s="208" t="n">
        <f>IF('Registro Diario'!K22="Sí",J42+1,0)</f>
        <v>0</v>
      </c>
      <c r="L42" s="208" t="n">
        <f>IF('Registro Diario'!L22="Sí",K42+1,0)</f>
        <v>0</v>
      </c>
      <c r="M42" s="208" t="n">
        <f>IF('Registro Diario'!M22="Sí",L42+1,0)</f>
        <v>0</v>
      </c>
      <c r="N42" s="208" t="n">
        <f>IF('Registro Diario'!N22="Sí",M42+1,0)</f>
        <v>0</v>
      </c>
      <c r="O42" s="208" t="n">
        <f>IF('Registro Diario'!O22="Sí",N42+1,0)</f>
        <v>0</v>
      </c>
      <c r="P42" s="208" t="n">
        <f>IF('Registro Diario'!P22="Sí",O42+1,0)</f>
        <v>0</v>
      </c>
      <c r="Q42" s="208" t="n">
        <f>IF('Registro Diario'!Q22="Sí",P42+1,0)</f>
        <v>0</v>
      </c>
      <c r="R42" s="208" t="n">
        <f>IF('Registro Diario'!R22="Sí",Q42+1,0)</f>
        <v>0</v>
      </c>
      <c r="S42" s="208" t="n">
        <f>IF('Registro Diario'!S22="Sí",R42+1,0)</f>
        <v>0</v>
      </c>
      <c r="T42" s="208" t="n">
        <f>IF('Registro Diario'!T22="Sí",S42+1,0)</f>
        <v>0</v>
      </c>
      <c r="U42" s="208" t="n">
        <f>IF('Registro Diario'!U22="Sí",T42+1,0)</f>
        <v>0</v>
      </c>
      <c r="V42" s="208" t="n">
        <f>IF('Registro Diario'!V22="Sí",U42+1,0)</f>
        <v>0</v>
      </c>
      <c r="W42" s="208" t="n">
        <f>IF('Registro Diario'!W22="Sí",V42+1,0)</f>
        <v>0</v>
      </c>
      <c r="X42" s="208" t="n">
        <f>IF('Registro Diario'!X22="Sí",W42+1,0)</f>
        <v>0</v>
      </c>
      <c r="Y42" s="208" t="n">
        <f>IF('Registro Diario'!Y22="Sí",X42+1,0)</f>
        <v>0</v>
      </c>
      <c r="Z42" s="208" t="n">
        <f>IF('Registro Diario'!Z22="Sí",Y42+1,0)</f>
        <v>0</v>
      </c>
      <c r="AA42" s="208" t="n">
        <f>IF('Registro Diario'!AA22="Sí",Z42+1,0)</f>
        <v>0</v>
      </c>
      <c r="AB42" s="208" t="n">
        <f>IF('Registro Diario'!AB22="Sí",AA42+1,0)</f>
        <v>0</v>
      </c>
      <c r="AC42" s="208" t="n">
        <f>IF('Registro Diario'!AC22="Sí",AB42+1,0)</f>
        <v>0</v>
      </c>
      <c r="AD42" s="208" t="n">
        <f>IF('Registro Diario'!AD22="Sí",AC42+1,0)</f>
        <v>0</v>
      </c>
      <c r="AE42" s="208" t="n">
        <f>IF('Registro Diario'!AE22="Sí",AD42+1,0)</f>
        <v>0</v>
      </c>
      <c r="AF42" s="208" t="n">
        <f>IF('Registro Diario'!AF22="Sí",AE42+1,0)</f>
        <v>0</v>
      </c>
      <c r="AG42" s="208" t="n">
        <f>IF('Registro Diario'!AG22="Sí",AF42+1,0)</f>
        <v>0</v>
      </c>
      <c r="AH42" s="223" t="n">
        <f>IF('Registro Diario'!AH22="Sí",AG42+1,0)</f>
        <v>0</v>
      </c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</row>
    <row r="43" ht="15" hidden="0" customHeight="1">
      <c r="A43" s="207" t="str">
        <f>'Configuracion'!A22</f>
        <v>H18</v>
      </c>
      <c r="B43" s="208" t="n">
        <f>'Configuracion'!B22</f>
        <v>0</v>
      </c>
      <c r="C43" s="208" t="n">
        <f>'Configuracion'!C22</f>
        <v>0</v>
      </c>
      <c r="D43" s="208" t="n">
        <f>IF('Registro Diario'!D23="Sí",0+1,0)</f>
        <v>0</v>
      </c>
      <c r="E43" s="208" t="n">
        <f>IF('Registro Diario'!E23="Sí",D43+1,0)</f>
        <v>0</v>
      </c>
      <c r="F43" s="208" t="n">
        <f>IF('Registro Diario'!F23="Sí",E43+1,0)</f>
        <v>0</v>
      </c>
      <c r="G43" s="208" t="n">
        <f>IF('Registro Diario'!G23="Sí",F43+1,0)</f>
        <v>0</v>
      </c>
      <c r="H43" s="208" t="n">
        <f>IF('Registro Diario'!H23="Sí",G43+1,0)</f>
        <v>0</v>
      </c>
      <c r="I43" s="208" t="n">
        <f>IF('Registro Diario'!I23="Sí",H43+1,0)</f>
        <v>0</v>
      </c>
      <c r="J43" s="208" t="n">
        <f>IF('Registro Diario'!J23="Sí",I43+1,0)</f>
        <v>0</v>
      </c>
      <c r="K43" s="208" t="n">
        <f>IF('Registro Diario'!K23="Sí",J43+1,0)</f>
        <v>0</v>
      </c>
      <c r="L43" s="208" t="n">
        <f>IF('Registro Diario'!L23="Sí",K43+1,0)</f>
        <v>0</v>
      </c>
      <c r="M43" s="208" t="n">
        <f>IF('Registro Diario'!M23="Sí",L43+1,0)</f>
        <v>0</v>
      </c>
      <c r="N43" s="208" t="n">
        <f>IF('Registro Diario'!N23="Sí",M43+1,0)</f>
        <v>0</v>
      </c>
      <c r="O43" s="208" t="n">
        <f>IF('Registro Diario'!O23="Sí",N43+1,0)</f>
        <v>0</v>
      </c>
      <c r="P43" s="208" t="n">
        <f>IF('Registro Diario'!P23="Sí",O43+1,0)</f>
        <v>0</v>
      </c>
      <c r="Q43" s="208" t="n">
        <f>IF('Registro Diario'!Q23="Sí",P43+1,0)</f>
        <v>0</v>
      </c>
      <c r="R43" s="208" t="n">
        <f>IF('Registro Diario'!R23="Sí",Q43+1,0)</f>
        <v>0</v>
      </c>
      <c r="S43" s="208" t="n">
        <f>IF('Registro Diario'!S23="Sí",R43+1,0)</f>
        <v>0</v>
      </c>
      <c r="T43" s="208" t="n">
        <f>IF('Registro Diario'!T23="Sí",S43+1,0)</f>
        <v>0</v>
      </c>
      <c r="U43" s="208" t="n">
        <f>IF('Registro Diario'!U23="Sí",T43+1,0)</f>
        <v>0</v>
      </c>
      <c r="V43" s="208" t="n">
        <f>IF('Registro Diario'!V23="Sí",U43+1,0)</f>
        <v>0</v>
      </c>
      <c r="W43" s="208" t="n">
        <f>IF('Registro Diario'!W23="Sí",V43+1,0)</f>
        <v>0</v>
      </c>
      <c r="X43" s="208" t="n">
        <f>IF('Registro Diario'!X23="Sí",W43+1,0)</f>
        <v>0</v>
      </c>
      <c r="Y43" s="208" t="n">
        <f>IF('Registro Diario'!Y23="Sí",X43+1,0)</f>
        <v>0</v>
      </c>
      <c r="Z43" s="208" t="n">
        <f>IF('Registro Diario'!Z23="Sí",Y43+1,0)</f>
        <v>0</v>
      </c>
      <c r="AA43" s="208" t="n">
        <f>IF('Registro Diario'!AA23="Sí",Z43+1,0)</f>
        <v>0</v>
      </c>
      <c r="AB43" s="208" t="n">
        <f>IF('Registro Diario'!AB23="Sí",AA43+1,0)</f>
        <v>0</v>
      </c>
      <c r="AC43" s="208" t="n">
        <f>IF('Registro Diario'!AC23="Sí",AB43+1,0)</f>
        <v>0</v>
      </c>
      <c r="AD43" s="208" t="n">
        <f>IF('Registro Diario'!AD23="Sí",AC43+1,0)</f>
        <v>0</v>
      </c>
      <c r="AE43" s="208" t="n">
        <f>IF('Registro Diario'!AE23="Sí",AD43+1,0)</f>
        <v>0</v>
      </c>
      <c r="AF43" s="208" t="n">
        <f>IF('Registro Diario'!AF23="Sí",AE43+1,0)</f>
        <v>0</v>
      </c>
      <c r="AG43" s="208" t="n">
        <f>IF('Registro Diario'!AG23="Sí",AF43+1,0)</f>
        <v>0</v>
      </c>
      <c r="AH43" s="223" t="n">
        <f>IF('Registro Diario'!AH23="Sí",AG43+1,0)</f>
        <v>0</v>
      </c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</row>
    <row r="44" ht="15" hidden="0" customHeight="1">
      <c r="A44" s="207" t="str">
        <f>'Configuracion'!A23</f>
        <v>H19</v>
      </c>
      <c r="B44" s="208" t="n">
        <f>'Configuracion'!B23</f>
        <v>0</v>
      </c>
      <c r="C44" s="208" t="n">
        <f>'Configuracion'!C23</f>
        <v>0</v>
      </c>
      <c r="D44" s="208" t="n">
        <f>IF('Registro Diario'!D24="Sí",0+1,0)</f>
        <v>0</v>
      </c>
      <c r="E44" s="208" t="n">
        <f>IF('Registro Diario'!E24="Sí",D44+1,0)</f>
        <v>0</v>
      </c>
      <c r="F44" s="208" t="n">
        <f>IF('Registro Diario'!F24="Sí",E44+1,0)</f>
        <v>0</v>
      </c>
      <c r="G44" s="208" t="n">
        <f>IF('Registro Diario'!G24="Sí",F44+1,0)</f>
        <v>0</v>
      </c>
      <c r="H44" s="208" t="n">
        <f>IF('Registro Diario'!H24="Sí",G44+1,0)</f>
        <v>0</v>
      </c>
      <c r="I44" s="208" t="n">
        <f>IF('Registro Diario'!I24="Sí",H44+1,0)</f>
        <v>0</v>
      </c>
      <c r="J44" s="208" t="n">
        <f>IF('Registro Diario'!J24="Sí",I44+1,0)</f>
        <v>0</v>
      </c>
      <c r="K44" s="208" t="n">
        <f>IF('Registro Diario'!K24="Sí",J44+1,0)</f>
        <v>0</v>
      </c>
      <c r="L44" s="208" t="n">
        <f>IF('Registro Diario'!L24="Sí",K44+1,0)</f>
        <v>0</v>
      </c>
      <c r="M44" s="208" t="n">
        <f>IF('Registro Diario'!M24="Sí",L44+1,0)</f>
        <v>0</v>
      </c>
      <c r="N44" s="208" t="n">
        <f>IF('Registro Diario'!N24="Sí",M44+1,0)</f>
        <v>0</v>
      </c>
      <c r="O44" s="208" t="n">
        <f>IF('Registro Diario'!O24="Sí",N44+1,0)</f>
        <v>0</v>
      </c>
      <c r="P44" s="208" t="n">
        <f>IF('Registro Diario'!P24="Sí",O44+1,0)</f>
        <v>0</v>
      </c>
      <c r="Q44" s="208" t="n">
        <f>IF('Registro Diario'!Q24="Sí",P44+1,0)</f>
        <v>0</v>
      </c>
      <c r="R44" s="208" t="n">
        <f>IF('Registro Diario'!R24="Sí",Q44+1,0)</f>
        <v>0</v>
      </c>
      <c r="S44" s="208" t="n">
        <f>IF('Registro Diario'!S24="Sí",R44+1,0)</f>
        <v>0</v>
      </c>
      <c r="T44" s="208" t="n">
        <f>IF('Registro Diario'!T24="Sí",S44+1,0)</f>
        <v>0</v>
      </c>
      <c r="U44" s="208" t="n">
        <f>IF('Registro Diario'!U24="Sí",T44+1,0)</f>
        <v>0</v>
      </c>
      <c r="V44" s="208" t="n">
        <f>IF('Registro Diario'!V24="Sí",U44+1,0)</f>
        <v>0</v>
      </c>
      <c r="W44" s="208" t="n">
        <f>IF('Registro Diario'!W24="Sí",V44+1,0)</f>
        <v>0</v>
      </c>
      <c r="X44" s="208" t="n">
        <f>IF('Registro Diario'!X24="Sí",W44+1,0)</f>
        <v>0</v>
      </c>
      <c r="Y44" s="208" t="n">
        <f>IF('Registro Diario'!Y24="Sí",X44+1,0)</f>
        <v>0</v>
      </c>
      <c r="Z44" s="208" t="n">
        <f>IF('Registro Diario'!Z24="Sí",Y44+1,0)</f>
        <v>0</v>
      </c>
      <c r="AA44" s="208" t="n">
        <f>IF('Registro Diario'!AA24="Sí",Z44+1,0)</f>
        <v>0</v>
      </c>
      <c r="AB44" s="208" t="n">
        <f>IF('Registro Diario'!AB24="Sí",AA44+1,0)</f>
        <v>0</v>
      </c>
      <c r="AC44" s="208" t="n">
        <f>IF('Registro Diario'!AC24="Sí",AB44+1,0)</f>
        <v>0</v>
      </c>
      <c r="AD44" s="208" t="n">
        <f>IF('Registro Diario'!AD24="Sí",AC44+1,0)</f>
        <v>0</v>
      </c>
      <c r="AE44" s="208" t="n">
        <f>IF('Registro Diario'!AE24="Sí",AD44+1,0)</f>
        <v>0</v>
      </c>
      <c r="AF44" s="208" t="n">
        <f>IF('Registro Diario'!AF24="Sí",AE44+1,0)</f>
        <v>0</v>
      </c>
      <c r="AG44" s="208" t="n">
        <f>IF('Registro Diario'!AG24="Sí",AF44+1,0)</f>
        <v>0</v>
      </c>
      <c r="AH44" s="223" t="n">
        <f>IF('Registro Diario'!AH24="Sí",AG44+1,0)</f>
        <v>0</v>
      </c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</row>
    <row r="45" ht="15" hidden="0" customHeight="1">
      <c r="A45" s="210" t="str">
        <f>'Configuracion'!A24</f>
        <v>H20</v>
      </c>
      <c r="B45" s="211" t="n">
        <f>'Configuracion'!B24</f>
        <v>0</v>
      </c>
      <c r="C45" s="211" t="n">
        <f>'Configuracion'!C24</f>
        <v>0</v>
      </c>
      <c r="D45" s="211" t="n">
        <f>IF('Registro Diario'!D25="Sí",0+1,0)</f>
        <v>0</v>
      </c>
      <c r="E45" s="211" t="n">
        <f>IF('Registro Diario'!E25="Sí",D45+1,0)</f>
        <v>0</v>
      </c>
      <c r="F45" s="211" t="n">
        <f>IF('Registro Diario'!F25="Sí",E45+1,0)</f>
        <v>0</v>
      </c>
      <c r="G45" s="211" t="n">
        <f>IF('Registro Diario'!G25="Sí",F45+1,0)</f>
        <v>0</v>
      </c>
      <c r="H45" s="211" t="n">
        <f>IF('Registro Diario'!H25="Sí",G45+1,0)</f>
        <v>0</v>
      </c>
      <c r="I45" s="211" t="n">
        <f>IF('Registro Diario'!I25="Sí",H45+1,0)</f>
        <v>0</v>
      </c>
      <c r="J45" s="211" t="n">
        <f>IF('Registro Diario'!J25="Sí",I45+1,0)</f>
        <v>0</v>
      </c>
      <c r="K45" s="211" t="n">
        <f>IF('Registro Diario'!K25="Sí",J45+1,0)</f>
        <v>0</v>
      </c>
      <c r="L45" s="211" t="n">
        <f>IF('Registro Diario'!L25="Sí",K45+1,0)</f>
        <v>0</v>
      </c>
      <c r="M45" s="211" t="n">
        <f>IF('Registro Diario'!M25="Sí",L45+1,0)</f>
        <v>0</v>
      </c>
      <c r="N45" s="211" t="n">
        <f>IF('Registro Diario'!N25="Sí",M45+1,0)</f>
        <v>0</v>
      </c>
      <c r="O45" s="211" t="n">
        <f>IF('Registro Diario'!O25="Sí",N45+1,0)</f>
        <v>0</v>
      </c>
      <c r="P45" s="211" t="n">
        <f>IF('Registro Diario'!P25="Sí",O45+1,0)</f>
        <v>0</v>
      </c>
      <c r="Q45" s="211" t="n">
        <f>IF('Registro Diario'!Q25="Sí",P45+1,0)</f>
        <v>0</v>
      </c>
      <c r="R45" s="211" t="n">
        <f>IF('Registro Diario'!R25="Sí",Q45+1,0)</f>
        <v>0</v>
      </c>
      <c r="S45" s="211" t="n">
        <f>IF('Registro Diario'!S25="Sí",R45+1,0)</f>
        <v>0</v>
      </c>
      <c r="T45" s="211" t="n">
        <f>IF('Registro Diario'!T25="Sí",S45+1,0)</f>
        <v>0</v>
      </c>
      <c r="U45" s="211" t="n">
        <f>IF('Registro Diario'!U25="Sí",T45+1,0)</f>
        <v>0</v>
      </c>
      <c r="V45" s="211" t="n">
        <f>IF('Registro Diario'!V25="Sí",U45+1,0)</f>
        <v>0</v>
      </c>
      <c r="W45" s="211" t="n">
        <f>IF('Registro Diario'!W25="Sí",V45+1,0)</f>
        <v>0</v>
      </c>
      <c r="X45" s="211" t="n">
        <f>IF('Registro Diario'!X25="Sí",W45+1,0)</f>
        <v>0</v>
      </c>
      <c r="Y45" s="211" t="n">
        <f>IF('Registro Diario'!Y25="Sí",X45+1,0)</f>
        <v>0</v>
      </c>
      <c r="Z45" s="211" t="n">
        <f>IF('Registro Diario'!Z25="Sí",Y45+1,0)</f>
        <v>0</v>
      </c>
      <c r="AA45" s="211" t="n">
        <f>IF('Registro Diario'!AA25="Sí",Z45+1,0)</f>
        <v>0</v>
      </c>
      <c r="AB45" s="211" t="n">
        <f>IF('Registro Diario'!AB25="Sí",AA45+1,0)</f>
        <v>0</v>
      </c>
      <c r="AC45" s="211" t="n">
        <f>IF('Registro Diario'!AC25="Sí",AB45+1,0)</f>
        <v>0</v>
      </c>
      <c r="AD45" s="211" t="n">
        <f>IF('Registro Diario'!AD25="Sí",AC45+1,0)</f>
        <v>0</v>
      </c>
      <c r="AE45" s="211" t="n">
        <f>IF('Registro Diario'!AE25="Sí",AD45+1,0)</f>
        <v>0</v>
      </c>
      <c r="AF45" s="211" t="n">
        <f>IF('Registro Diario'!AF25="Sí",AE45+1,0)</f>
        <v>0</v>
      </c>
      <c r="AG45" s="211" t="n">
        <f>IF('Registro Diario'!AG25="Sí",AF45+1,0)</f>
        <v>0</v>
      </c>
      <c r="AH45" s="224" t="n">
        <f>IF('Registro Diario'!AH25="Sí",AG45+1,0)</f>
        <v>0</v>
      </c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</row>
    <row r="46" ht="15" hidden="0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</row>
    <row r="47" ht="15" hidden="0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3"/>
      <c r="AX47" s="183"/>
      <c r="AY47" s="183"/>
      <c r="AZ47" s="183"/>
    </row>
    <row r="48" ht="15" hidden="0" customHeight="1">
      <c r="A48" s="216" t="str">
        <v>Día</v>
      </c>
      <c r="B48" s="217" t="str">
        <v>Fecha</v>
      </c>
      <c r="C48" s="217" t="str">
        <v>% Día</v>
      </c>
      <c r="D48" s="218" t="str">
        <v>Completados</v>
      </c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  <c r="AS48" s="183"/>
      <c r="AT48" s="183"/>
      <c r="AU48" s="183"/>
      <c r="AV48" s="183"/>
      <c r="AW48" s="183"/>
      <c r="AX48" s="183"/>
      <c r="AY48" s="183"/>
      <c r="AZ48" s="183"/>
    </row>
    <row r="49" ht="15" hidden="0" customHeight="1">
      <c r="A49" s="204" t="n">
        <f>1</f>
        <v>1</v>
      </c>
      <c r="B49" s="205" t="n">
        <f>DATE('Registro Diario'!$D$3,'Registro Diario'!$B$3,A49)</f>
        <v>46023</v>
      </c>
      <c r="C49" s="246" t="n">
        <f>IFERROR((COUNTIF('Registro Diario'!D$6:D$25,"Sí")+0.5*COUNTIF('Registro Diario'!D$6:D$25,"Parcial"))/COUNTIF('Configuracion'!$G$5:$G$24,"Sí"),0)</f>
        <v>0.65</v>
      </c>
      <c r="D49" s="222" t="n">
        <f>COUNTIF('Registro Diario'!D$6:D$25,"Sí")</f>
        <v>6</v>
      </c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  <c r="AY49" s="183"/>
      <c r="AZ49" s="183"/>
    </row>
    <row r="50" ht="15" hidden="0" customHeight="1">
      <c r="A50" s="207" t="n">
        <f>2</f>
        <v>2</v>
      </c>
      <c r="B50" s="208" t="n">
        <f>DATE('Registro Diario'!$D$3,'Registro Diario'!$B$3,A50)</f>
        <v>46024</v>
      </c>
      <c r="C50" s="248" t="n">
        <f>IFERROR((COUNTIF('Registro Diario'!E$6:E$25,"Sí")+0.5*COUNTIF('Registro Diario'!E$6:E$25,"Parcial"))/COUNTIF('Configuracion'!$G$5:$G$24,"Sí"),0)</f>
        <v>0.7</v>
      </c>
      <c r="D50" s="223" t="n">
        <f>COUNTIF('Registro Diario'!E$6:E$25,"Sí")</f>
        <v>6</v>
      </c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</row>
    <row r="51" ht="15" hidden="0" customHeight="1">
      <c r="A51" s="207" t="n">
        <f>3</f>
        <v>3</v>
      </c>
      <c r="B51" s="208" t="n">
        <f>DATE('Registro Diario'!$D$3,'Registro Diario'!$B$3,A51)</f>
        <v>46025</v>
      </c>
      <c r="C51" s="248" t="n">
        <f>IFERROR((COUNTIF('Registro Diario'!F$6:F$25,"Sí")+0.5*COUNTIF('Registro Diario'!F$6:F$25,"Parcial"))/COUNTIF('Configuracion'!$G$5:$G$24,"Sí"),0)</f>
        <v>0.7</v>
      </c>
      <c r="D51" s="223" t="n">
        <f>COUNTIF('Registro Diario'!F$6:F$25,"Sí")</f>
        <v>7</v>
      </c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</row>
    <row r="52" ht="15" hidden="0" customHeight="1">
      <c r="A52" s="207" t="n">
        <f>4</f>
        <v>4</v>
      </c>
      <c r="B52" s="208" t="n">
        <f>DATE('Registro Diario'!$D$3,'Registro Diario'!$B$3,A52)</f>
        <v>46026</v>
      </c>
      <c r="C52" s="248" t="n">
        <f>IFERROR((COUNTIF('Registro Diario'!G$6:G$25,"Sí")+0.5*COUNTIF('Registro Diario'!G$6:G$25,"Parcial"))/COUNTIF('Configuracion'!$G$5:$G$24,"Sí"),0)</f>
        <v>0.8</v>
      </c>
      <c r="D52" s="223" t="n">
        <f>COUNTIF('Registro Diario'!G$6:G$25,"Sí")</f>
        <v>7</v>
      </c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</row>
    <row r="53" ht="15" hidden="0" customHeight="1">
      <c r="A53" s="207" t="n">
        <f>5</f>
        <v>5</v>
      </c>
      <c r="B53" s="208" t="n">
        <f>DATE('Registro Diario'!$D$3,'Registro Diario'!$B$3,A53)</f>
        <v>46027</v>
      </c>
      <c r="C53" s="248" t="n">
        <f>IFERROR((COUNTIF('Registro Diario'!H$6:H$25,"Sí")+0.5*COUNTIF('Registro Diario'!H$6:H$25,"Parcial"))/COUNTIF('Configuracion'!$G$5:$G$24,"Sí"),0)</f>
        <v>0.65</v>
      </c>
      <c r="D53" s="223" t="n">
        <f>COUNTIF('Registro Diario'!H$6:H$25,"Sí")</f>
        <v>6</v>
      </c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</row>
    <row r="54" ht="15" hidden="0" customHeight="1">
      <c r="A54" s="207" t="n">
        <f>6</f>
        <v>6</v>
      </c>
      <c r="B54" s="208" t="n">
        <f>DATE('Registro Diario'!$D$3,'Registro Diario'!$B$3,A54)</f>
        <v>46028</v>
      </c>
      <c r="C54" s="248" t="n">
        <f>IFERROR((COUNTIF('Registro Diario'!I$6:I$25,"Sí")+0.5*COUNTIF('Registro Diario'!I$6:I$25,"Parcial"))/COUNTIF('Configuracion'!$G$5:$G$24,"Sí"),0)</f>
        <v>0.7</v>
      </c>
      <c r="D54" s="223" t="n">
        <f>COUNTIF('Registro Diario'!I$6:I$25,"Sí")</f>
        <v>6</v>
      </c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</row>
    <row r="55" ht="15" hidden="0" customHeight="1">
      <c r="A55" s="207" t="n">
        <f>7</f>
        <v>7</v>
      </c>
      <c r="B55" s="208" t="n">
        <f>DATE('Registro Diario'!$D$3,'Registro Diario'!$B$3,A55)</f>
        <v>46029</v>
      </c>
      <c r="C55" s="248" t="n">
        <f>IFERROR((COUNTIF('Registro Diario'!J$6:J$25,"Sí")+0.5*COUNTIF('Registro Diario'!J$6:J$25,"Parcial"))/COUNTIF('Configuracion'!$G$5:$G$24,"Sí"),0)</f>
        <v>0.65</v>
      </c>
      <c r="D55" s="223" t="n">
        <f>COUNTIF('Registro Diario'!J$6:J$25,"Sí")</f>
        <v>6</v>
      </c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</row>
    <row r="56" ht="15" hidden="0" customHeight="1">
      <c r="A56" s="207" t="n">
        <f>8</f>
        <v>8</v>
      </c>
      <c r="B56" s="208" t="n">
        <f>DATE('Registro Diario'!$D$3,'Registro Diario'!$B$3,A56)</f>
        <v>46030</v>
      </c>
      <c r="C56" s="248" t="n">
        <f>IFERROR((COUNTIF('Registro Diario'!K$6:K$25,"Sí")+0.5*COUNTIF('Registro Diario'!K$6:K$25,"Parcial"))/COUNTIF('Configuracion'!$G$5:$G$24,"Sí"),0)</f>
        <v>0.8</v>
      </c>
      <c r="D56" s="223" t="n">
        <f>COUNTIF('Registro Diario'!K$6:K$25,"Sí")</f>
        <v>7</v>
      </c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</row>
    <row r="57" ht="15" hidden="0" customHeight="1">
      <c r="A57" s="207" t="n">
        <f>9</f>
        <v>9</v>
      </c>
      <c r="B57" s="208" t="n">
        <f>DATE('Registro Diario'!$D$3,'Registro Diario'!$B$3,A57)</f>
        <v>46031</v>
      </c>
      <c r="C57" s="248" t="n">
        <f>IFERROR((COUNTIF('Registro Diario'!L$6:L$25,"Sí")+0.5*COUNTIF('Registro Diario'!L$6:L$25,"Parcial"))/COUNTIF('Configuracion'!$G$5:$G$24,"Sí"),0)</f>
        <v>0.6</v>
      </c>
      <c r="D57" s="223" t="n">
        <f>COUNTIF('Registro Diario'!L$6:L$25,"Sí")</f>
        <v>5</v>
      </c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</row>
    <row r="58" ht="15" hidden="0" customHeight="1">
      <c r="A58" s="207" t="n">
        <f>10</f>
        <v>10</v>
      </c>
      <c r="B58" s="208" t="n">
        <f>DATE('Registro Diario'!$D$3,'Registro Diario'!$B$3,A58)</f>
        <v>46032</v>
      </c>
      <c r="C58" s="248" t="n">
        <f>IFERROR((COUNTIF('Registro Diario'!M$6:M$25,"Sí")+0.5*COUNTIF('Registro Diario'!M$6:M$25,"Parcial"))/COUNTIF('Configuracion'!$G$5:$G$24,"Sí"),0)</f>
        <v>0.7</v>
      </c>
      <c r="D58" s="223" t="n">
        <f>COUNTIF('Registro Diario'!M$6:M$25,"Sí")</f>
        <v>6</v>
      </c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</row>
    <row r="59" ht="15" hidden="0" customHeight="1">
      <c r="A59" s="207" t="n">
        <f>11</f>
        <v>11</v>
      </c>
      <c r="B59" s="208" t="n">
        <f>DATE('Registro Diario'!$D$3,'Registro Diario'!$B$3,A59)</f>
        <v>46033</v>
      </c>
      <c r="C59" s="248" t="n">
        <f>IFERROR((COUNTIF('Registro Diario'!N$6:N$25,"Sí")+0.5*COUNTIF('Registro Diario'!N$6:N$25,"Parcial"))/COUNTIF('Configuracion'!$G$5:$G$24,"Sí"),0)</f>
        <v>0.6</v>
      </c>
      <c r="D59" s="223" t="n">
        <f>COUNTIF('Registro Diario'!N$6:N$25,"Sí")</f>
        <v>5</v>
      </c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</row>
    <row r="60" ht="15" hidden="0" customHeight="1">
      <c r="A60" s="207" t="n">
        <f>12</f>
        <v>12</v>
      </c>
      <c r="B60" s="208" t="n">
        <f>DATE('Registro Diario'!$D$3,'Registro Diario'!$B$3,A60)</f>
        <v>46034</v>
      </c>
      <c r="C60" s="248" t="n">
        <f>IFERROR((COUNTIF('Registro Diario'!O$6:O$25,"Sí")+0.5*COUNTIF('Registro Diario'!O$6:O$25,"Parcial"))/COUNTIF('Configuracion'!$G$5:$G$24,"Sí"),0)</f>
        <v>0.75</v>
      </c>
      <c r="D60" s="223" t="n">
        <f>COUNTIF('Registro Diario'!O$6:O$25,"Sí")</f>
        <v>7</v>
      </c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</row>
    <row r="61" ht="15" hidden="0" customHeight="1">
      <c r="A61" s="207" t="n">
        <f>13</f>
        <v>13</v>
      </c>
      <c r="B61" s="208" t="n">
        <f>DATE('Registro Diario'!$D$3,'Registro Diario'!$B$3,A61)</f>
        <v>46035</v>
      </c>
      <c r="C61" s="248" t="n">
        <f>IFERROR((COUNTIF('Registro Diario'!P$6:P$25,"Sí")+0.5*COUNTIF('Registro Diario'!P$6:P$25,"Parcial"))/COUNTIF('Configuracion'!$G$5:$G$24,"Sí"),0)</f>
        <v>0.7</v>
      </c>
      <c r="D61" s="223" t="n">
        <f>COUNTIF('Registro Diario'!P$6:P$25,"Sí")</f>
        <v>6</v>
      </c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</row>
    <row r="62" ht="15" hidden="0" customHeight="1">
      <c r="A62" s="207" t="n">
        <f>14</f>
        <v>14</v>
      </c>
      <c r="B62" s="208" t="n">
        <f>DATE('Registro Diario'!$D$3,'Registro Diario'!$B$3,A62)</f>
        <v>46036</v>
      </c>
      <c r="C62" s="248" t="n">
        <f>IFERROR((COUNTIF('Registro Diario'!Q$6:Q$25,"Sí")+0.5*COUNTIF('Registro Diario'!Q$6:Q$25,"Parcial"))/COUNTIF('Configuracion'!$G$5:$G$24,"Sí"),0)</f>
        <v>0.65</v>
      </c>
      <c r="D62" s="223" t="n">
        <f>COUNTIF('Registro Diario'!Q$6:Q$25,"Sí")</f>
        <v>6</v>
      </c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</row>
    <row r="63" ht="15" hidden="0" customHeight="1">
      <c r="A63" s="207" t="n">
        <f>15</f>
        <v>15</v>
      </c>
      <c r="B63" s="208" t="n">
        <f>DATE('Registro Diario'!$D$3,'Registro Diario'!$B$3,A63)</f>
        <v>46037</v>
      </c>
      <c r="C63" s="248" t="n">
        <f>IFERROR((COUNTIF('Registro Diario'!R$6:R$25,"Sí")+0.5*COUNTIF('Registro Diario'!R$6:R$25,"Parcial"))/COUNTIF('Configuracion'!$G$5:$G$24,"Sí"),0)</f>
        <v>0.7</v>
      </c>
      <c r="D63" s="223" t="n">
        <f>COUNTIF('Registro Diario'!R$6:R$25,"Sí")</f>
        <v>6</v>
      </c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</row>
    <row r="64" ht="15" hidden="0" customHeight="1">
      <c r="A64" s="207" t="n">
        <f>16</f>
        <v>16</v>
      </c>
      <c r="B64" s="208" t="n">
        <f>DATE('Registro Diario'!$D$3,'Registro Diario'!$B$3,A64)</f>
        <v>46038</v>
      </c>
      <c r="C64" s="248" t="n">
        <f>IFERROR((COUNTIF('Registro Diario'!S$6:S$25,"Sí")+0.5*COUNTIF('Registro Diario'!S$6:S$25,"Parcial"))/COUNTIF('Configuracion'!$G$5:$G$24,"Sí"),0)</f>
        <v>0.7</v>
      </c>
      <c r="D64" s="223" t="n">
        <f>COUNTIF('Registro Diario'!S$6:S$25,"Sí")</f>
        <v>7</v>
      </c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</row>
    <row r="65" ht="15" hidden="0" customHeight="1">
      <c r="A65" s="207" t="n">
        <f>17</f>
        <v>17</v>
      </c>
      <c r="B65" s="208" t="n">
        <f>DATE('Registro Diario'!$D$3,'Registro Diario'!$B$3,A65)</f>
        <v>46039</v>
      </c>
      <c r="C65" s="248" t="n">
        <f>IFERROR((COUNTIF('Registro Diario'!T$6:T$25,"Sí")+0.5*COUNTIF('Registro Diario'!T$6:T$25,"Parcial"))/COUNTIF('Configuracion'!$G$5:$G$24,"Sí"),0)</f>
        <v>0.8</v>
      </c>
      <c r="D65" s="223" t="n">
        <f>COUNTIF('Registro Diario'!T$6:T$25,"Sí")</f>
        <v>7</v>
      </c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</row>
    <row r="66" ht="15" hidden="0" customHeight="1">
      <c r="A66" s="207" t="n">
        <f>18</f>
        <v>18</v>
      </c>
      <c r="B66" s="208" t="n">
        <f>DATE('Registro Diario'!$D$3,'Registro Diario'!$B$3,A66)</f>
        <v>46040</v>
      </c>
      <c r="C66" s="248" t="n">
        <f>IFERROR((COUNTIF('Registro Diario'!U$6:U$25,"Sí")+0.5*COUNTIF('Registro Diario'!U$6:U$25,"Parcial"))/COUNTIF('Configuracion'!$G$5:$G$24,"Sí"),0)</f>
        <v>0.65</v>
      </c>
      <c r="D66" s="223" t="n">
        <f>COUNTIF('Registro Diario'!U$6:U$25,"Sí")</f>
        <v>6</v>
      </c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</row>
    <row r="67" ht="15" hidden="0" customHeight="1">
      <c r="A67" s="207" t="n">
        <f>19</f>
        <v>19</v>
      </c>
      <c r="B67" s="208" t="n">
        <f>DATE('Registro Diario'!$D$3,'Registro Diario'!$B$3,A67)</f>
        <v>46041</v>
      </c>
      <c r="C67" s="248" t="n">
        <f>IFERROR((COUNTIF('Registro Diario'!V$6:V$25,"Sí")+0.5*COUNTIF('Registro Diario'!V$6:V$25,"Parcial"))/COUNTIF('Configuracion'!$G$5:$G$24,"Sí"),0)</f>
        <v>0.7</v>
      </c>
      <c r="D67" s="223" t="n">
        <f>COUNTIF('Registro Diario'!V$6:V$25,"Sí")</f>
        <v>6</v>
      </c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</row>
    <row r="68" ht="15" hidden="0" customHeight="1">
      <c r="A68" s="207" t="n">
        <f>20</f>
        <v>20</v>
      </c>
      <c r="B68" s="208" t="n">
        <f>DATE('Registro Diario'!$D$3,'Registro Diario'!$B$3,A68)</f>
        <v>46042</v>
      </c>
      <c r="C68" s="248" t="n">
        <f>IFERROR((COUNTIF('Registro Diario'!W$6:W$25,"Sí")+0.5*COUNTIF('Registro Diario'!W$6:W$25,"Parcial"))/COUNTIF('Configuracion'!$G$5:$G$24,"Sí"),0)</f>
        <v>0.65</v>
      </c>
      <c r="D68" s="223" t="n">
        <f>COUNTIF('Registro Diario'!W$6:W$25,"Sí")</f>
        <v>6</v>
      </c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</row>
    <row r="69" ht="15" hidden="0" customHeight="1">
      <c r="A69" s="207" t="n">
        <f>21</f>
        <v>21</v>
      </c>
      <c r="B69" s="208" t="n">
        <f>DATE('Registro Diario'!$D$3,'Registro Diario'!$B$3,A69)</f>
        <v>46043</v>
      </c>
      <c r="C69" s="248" t="n">
        <f>IFERROR((COUNTIF('Registro Diario'!X$6:X$25,"Sí")+0.5*COUNTIF('Registro Diario'!X$6:X$25,"Parcial"))/COUNTIF('Configuracion'!$G$5:$G$24,"Sí"),0)</f>
        <v>0.8</v>
      </c>
      <c r="D69" s="223" t="n">
        <f>COUNTIF('Registro Diario'!X$6:X$25,"Sí")</f>
        <v>7</v>
      </c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</row>
    <row r="70" ht="15" hidden="0" customHeight="1">
      <c r="A70" s="207" t="n">
        <f>22</f>
        <v>22</v>
      </c>
      <c r="B70" s="208" t="n">
        <f>DATE('Registro Diario'!$D$3,'Registro Diario'!$B$3,A70)</f>
        <v>46044</v>
      </c>
      <c r="C70" s="248" t="n">
        <f>IFERROR((COUNTIF('Registro Diario'!Y$6:Y$25,"Sí")+0.5*COUNTIF('Registro Diario'!Y$6:Y$25,"Parcial"))/COUNTIF('Configuracion'!$G$5:$G$24,"Sí"),0)</f>
        <v>0.6</v>
      </c>
      <c r="D70" s="223" t="n">
        <f>COUNTIF('Registro Diario'!Y$6:Y$25,"Sí")</f>
        <v>5</v>
      </c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</row>
    <row r="71" ht="15" hidden="0" customHeight="1">
      <c r="A71" s="207" t="n">
        <f>23</f>
        <v>23</v>
      </c>
      <c r="B71" s="208" t="n">
        <f>DATE('Registro Diario'!$D$3,'Registro Diario'!$B$3,A71)</f>
        <v>46045</v>
      </c>
      <c r="C71" s="248" t="n">
        <f>IFERROR((COUNTIF('Registro Diario'!Z$6:Z$25,"Sí")+0.5*COUNTIF('Registro Diario'!Z$6:Z$25,"Parcial"))/COUNTIF('Configuracion'!$G$5:$G$24,"Sí"),0)</f>
        <v>0.7</v>
      </c>
      <c r="D71" s="223" t="n">
        <f>COUNTIF('Registro Diario'!Z$6:Z$25,"Sí")</f>
        <v>6</v>
      </c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</row>
    <row r="72" ht="15" hidden="0" customHeight="1">
      <c r="A72" s="207" t="n">
        <f>24</f>
        <v>24</v>
      </c>
      <c r="B72" s="208" t="n">
        <f>DATE('Registro Diario'!$D$3,'Registro Diario'!$B$3,A72)</f>
        <v>46046</v>
      </c>
      <c r="C72" s="248" t="n">
        <f>IFERROR((COUNTIF('Registro Diario'!AA$6:AA$25,"Sí")+0.5*COUNTIF('Registro Diario'!AA$6:AA$25,"Parcial"))/COUNTIF('Configuracion'!$G$5:$G$24,"Sí"),0)</f>
        <v>0.6</v>
      </c>
      <c r="D72" s="223" t="n">
        <f>COUNTIF('Registro Diario'!AA$6:AA$25,"Sí")</f>
        <v>5</v>
      </c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</row>
    <row r="73" ht="15" hidden="0" customHeight="1">
      <c r="A73" s="207" t="n">
        <f>25</f>
        <v>25</v>
      </c>
      <c r="B73" s="208" t="n">
        <f>DATE('Registro Diario'!$D$3,'Registro Diario'!$B$3,A73)</f>
        <v>46047</v>
      </c>
      <c r="C73" s="248" t="n">
        <f>IFERROR((COUNTIF('Registro Diario'!AB$6:AB$25,"Sí")+0.5*COUNTIF('Registro Diario'!AB$6:AB$25,"Parcial"))/COUNTIF('Configuracion'!$G$5:$G$24,"Sí"),0)</f>
        <v>0.75</v>
      </c>
      <c r="D73" s="223" t="n">
        <f>COUNTIF('Registro Diario'!AB$6:AB$25,"Sí")</f>
        <v>7</v>
      </c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</row>
    <row r="74" ht="15" hidden="0" customHeight="1">
      <c r="A74" s="207" t="n">
        <f>26</f>
        <v>26</v>
      </c>
      <c r="B74" s="208" t="n">
        <f>DATE('Registro Diario'!$D$3,'Registro Diario'!$B$3,A74)</f>
        <v>46048</v>
      </c>
      <c r="C74" s="248" t="n">
        <f>IFERROR((COUNTIF('Registro Diario'!AC$6:AC$25,"Sí")+0.5*COUNTIF('Registro Diario'!AC$6:AC$25,"Parcial"))/COUNTIF('Configuracion'!$G$5:$G$24,"Sí"),0)</f>
        <v>0.7</v>
      </c>
      <c r="D74" s="223" t="n">
        <f>COUNTIF('Registro Diario'!AC$6:AC$25,"Sí")</f>
        <v>6</v>
      </c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</row>
    <row r="75" ht="15" hidden="0" customHeight="1">
      <c r="A75" s="207" t="n">
        <f>27</f>
        <v>27</v>
      </c>
      <c r="B75" s="208" t="n">
        <f>DATE('Registro Diario'!$D$3,'Registro Diario'!$B$3,A75)</f>
        <v>46049</v>
      </c>
      <c r="C75" s="248" t="n">
        <f>IFERROR((COUNTIF('Registro Diario'!AD$6:AD$25,"Sí")+0.5*COUNTIF('Registro Diario'!AD$6:AD$25,"Parcial"))/COUNTIF('Configuracion'!$G$5:$G$24,"Sí"),0)</f>
        <v>0.65</v>
      </c>
      <c r="D75" s="223" t="n">
        <f>COUNTIF('Registro Diario'!AD$6:AD$25,"Sí")</f>
        <v>6</v>
      </c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</row>
    <row r="76" ht="15" hidden="0" customHeight="1">
      <c r="A76" s="207" t="n">
        <f>28</f>
        <v>28</v>
      </c>
      <c r="B76" s="208" t="n">
        <f>DATE('Registro Diario'!$D$3,'Registro Diario'!$B$3,A76)</f>
        <v>46050</v>
      </c>
      <c r="C76" s="248" t="n">
        <f>IFERROR((COUNTIF('Registro Diario'!AE$6:AE$25,"Sí")+0.5*COUNTIF('Registro Diario'!AE$6:AE$25,"Parcial"))/COUNTIF('Configuracion'!$G$5:$G$24,"Sí"),0)</f>
        <v>0.7</v>
      </c>
      <c r="D76" s="223" t="n">
        <f>COUNTIF('Registro Diario'!AE$6:AE$25,"Sí")</f>
        <v>6</v>
      </c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</row>
    <row r="77" ht="15" hidden="0" customHeight="1">
      <c r="A77" s="207" t="n">
        <f>29</f>
        <v>29</v>
      </c>
      <c r="B77" s="208" t="n">
        <f>DATE('Registro Diario'!$D$3,'Registro Diario'!$B$3,A77)</f>
        <v>46051</v>
      </c>
      <c r="C77" s="248" t="n">
        <f>IFERROR((COUNTIF('Registro Diario'!AF$6:AF$25,"Sí")+0.5*COUNTIF('Registro Diario'!AF$6:AF$25,"Parcial"))/COUNTIF('Configuracion'!$G$5:$G$24,"Sí"),0)</f>
        <v>0.7</v>
      </c>
      <c r="D77" s="223" t="n">
        <f>COUNTIF('Registro Diario'!AF$6:AF$25,"Sí")</f>
        <v>7</v>
      </c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</row>
    <row r="78" ht="15" hidden="0" customHeight="1">
      <c r="A78" s="207" t="n">
        <f>30</f>
        <v>30</v>
      </c>
      <c r="B78" s="208" t="n">
        <f>DATE('Registro Diario'!$D$3,'Registro Diario'!$B$3,A78)</f>
        <v>46052</v>
      </c>
      <c r="C78" s="248" t="n">
        <f>IFERROR((COUNTIF('Registro Diario'!AG$6:AG$25,"Sí")+0.5*COUNTIF('Registro Diario'!AG$6:AG$25,"Parcial"))/COUNTIF('Configuracion'!$G$5:$G$24,"Sí"),0)</f>
        <v>0.8</v>
      </c>
      <c r="D78" s="223" t="n">
        <f>COUNTIF('Registro Diario'!AG$6:AG$25,"Sí")</f>
        <v>7</v>
      </c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</row>
    <row r="79" ht="15" hidden="0" customHeight="1">
      <c r="A79" s="210" t="n">
        <f>31</f>
        <v>31</v>
      </c>
      <c r="B79" s="211" t="n">
        <f>DATE('Registro Diario'!$D$3,'Registro Diario'!$B$3,A79)</f>
        <v>46053</v>
      </c>
      <c r="C79" s="250" t="n">
        <f>IFERROR((COUNTIF('Registro Diario'!AH$6:AH$25,"Sí")+0.5*COUNTIF('Registro Diario'!AH$6:AH$25,"Parcial"))/COUNTIF('Configuracion'!$G$5:$G$24,"Sí"),0)</f>
        <v>0.65</v>
      </c>
      <c r="D79" s="224" t="n">
        <f>COUNTIF('Registro Diario'!AH$6:AH$25,"Sí")</f>
        <v>6</v>
      </c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</row>
    <row r="80" ht="15" hidden="0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</row>
    <row r="81" ht="15" hidden="0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</row>
    <row r="82" ht="15" hidden="0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</row>
    <row r="83" ht="15" hidden="0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</row>
    <row r="84" ht="15" hidden="0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</row>
    <row r="85" ht="15" hidden="0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</row>
    <row r="86" ht="15" hidden="0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3"/>
      <c r="AO86" s="183"/>
      <c r="AP86" s="183"/>
      <c r="AQ86" s="183"/>
      <c r="AR86" s="183"/>
      <c r="AS86" s="183"/>
      <c r="AT86" s="183"/>
      <c r="AU86" s="183"/>
      <c r="AV86" s="183"/>
      <c r="AW86" s="183"/>
      <c r="AX86" s="183"/>
      <c r="AY86" s="183"/>
      <c r="AZ86" s="183"/>
    </row>
    <row r="87" ht="15" hidden="0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Q87" s="183"/>
      <c r="AR87" s="183"/>
      <c r="AS87" s="183"/>
      <c r="AT87" s="183"/>
      <c r="AU87" s="183"/>
      <c r="AV87" s="183"/>
      <c r="AW87" s="183"/>
      <c r="AX87" s="183"/>
      <c r="AY87" s="183"/>
      <c r="AZ87" s="183"/>
    </row>
    <row r="88" ht="15" hidden="0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  <c r="AS88" s="183"/>
      <c r="AT88" s="183"/>
      <c r="AU88" s="183"/>
      <c r="AV88" s="183"/>
      <c r="AW88" s="183"/>
      <c r="AX88" s="183"/>
      <c r="AY88" s="183"/>
      <c r="AZ88" s="183"/>
    </row>
    <row r="89" ht="15" hidden="0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  <c r="AS89" s="183"/>
      <c r="AT89" s="183"/>
      <c r="AU89" s="183"/>
      <c r="AV89" s="183"/>
      <c r="AW89" s="183"/>
      <c r="AX89" s="183"/>
      <c r="AY89" s="183"/>
      <c r="AZ89" s="183"/>
    </row>
    <row r="90" ht="15" hidden="0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  <c r="AP90" s="183"/>
      <c r="AQ90" s="183"/>
      <c r="AR90" s="183"/>
      <c r="AS90" s="183"/>
      <c r="AT90" s="183"/>
      <c r="AU90" s="183"/>
      <c r="AV90" s="183"/>
      <c r="AW90" s="183"/>
      <c r="AX90" s="183"/>
      <c r="AY90" s="183"/>
      <c r="AZ90" s="183"/>
    </row>
  </sheetData>
  <sheetProtection sheet="1" objects="1" scenarios="1"/>
  <mergeCells>
    <mergeCell ref="A1:J1"/>
  </mergeCells>
  <pageMargins left="0.7" right="0.7" top="0.75" bottom="0.75" header="0.3" footer="0.3"/>
</worksheet>
</file>